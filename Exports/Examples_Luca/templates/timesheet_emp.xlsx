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m\Desktop\"/>
    </mc:Choice>
  </mc:AlternateContent>
  <xr:revisionPtr revIDLastSave="0" documentId="13_ncr:1_{03726543-005A-4A90-BDBC-E482F4A79281}" xr6:coauthVersionLast="47" xr6:coauthVersionMax="47" xr10:uidLastSave="{00000000-0000-0000-0000-000000000000}"/>
  <bookViews>
    <workbookView xWindow="-110" yWindow="-110" windowWidth="38620" windowHeight="21220" xr2:uid="{3EF72678-B224-471F-A386-C45409D8E0AE}"/>
  </bookViews>
  <sheets>
    <sheet name="Details" sheetId="7" r:id="rId1"/>
    <sheet name="AbsenceTypes" sheetId="8" state="hidden" r:id="rId2"/>
    <sheet name="Saldi" sheetId="9" state="hidden" r:id="rId3"/>
    <sheet name="Corrections" sheetId="10" state="hidden" r:id="rId4"/>
    <sheet name="Days" sheetId="11" state="hidden" r:id="rId5"/>
    <sheet name="Clocking" sheetId="12" state="hidden" r:id="rId6"/>
    <sheet name="Resource" sheetId="13" state="hidden" r:id="rId7"/>
  </sheets>
  <definedNames>
    <definedName name="AbsenceTypes">AbsenceTypes!$A$3:$I$22</definedName>
    <definedName name="Clocking">Clocking!$A$3:$B$1098</definedName>
    <definedName name="Corrections">Corrections!$C$3:$E$67</definedName>
    <definedName name="Days">Days!$A$3:$F$1098</definedName>
    <definedName name="JAHR">Details!$AG$1</definedName>
    <definedName name="MONAT">Details!$AF$1</definedName>
    <definedName name="Saldi">Saldi!$C$3:$D$779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" i="7" l="1"/>
  <c r="AG1" i="7" s="1"/>
  <c r="C10" i="9" l="1"/>
  <c r="C11" i="9"/>
  <c r="C12" i="9"/>
  <c r="C13" i="9"/>
  <c r="C14" i="9"/>
  <c r="C15" i="9"/>
  <c r="C16" i="9"/>
  <c r="C17" i="9"/>
  <c r="C18" i="9"/>
  <c r="C27" i="9"/>
  <c r="C34" i="9"/>
  <c r="C35" i="9"/>
  <c r="C36" i="9"/>
  <c r="C37" i="9"/>
  <c r="C38" i="9"/>
  <c r="C39" i="9"/>
  <c r="C40" i="9"/>
  <c r="C41" i="9"/>
  <c r="C42" i="9"/>
  <c r="C58" i="9"/>
  <c r="C59" i="9"/>
  <c r="C60" i="9"/>
  <c r="C61" i="9"/>
  <c r="C62" i="9"/>
  <c r="C63" i="9"/>
  <c r="C64" i="9"/>
  <c r="C65" i="9"/>
  <c r="C66" i="9"/>
  <c r="C74" i="9"/>
  <c r="C75" i="9"/>
  <c r="C82" i="9"/>
  <c r="C83" i="9"/>
  <c r="C84" i="9"/>
  <c r="C85" i="9"/>
  <c r="C86" i="9"/>
  <c r="C87" i="9"/>
  <c r="C88" i="9"/>
  <c r="C89" i="9"/>
  <c r="C90" i="9"/>
  <c r="C94" i="9"/>
  <c r="C99" i="9"/>
  <c r="C106" i="9"/>
  <c r="C107" i="9"/>
  <c r="C108" i="9"/>
  <c r="C109" i="9"/>
  <c r="C110" i="9"/>
  <c r="C111" i="9"/>
  <c r="C112" i="9"/>
  <c r="C113" i="9"/>
  <c r="C114" i="9"/>
  <c r="C120" i="9"/>
  <c r="C122" i="9"/>
  <c r="C123" i="9"/>
  <c r="C130" i="9"/>
  <c r="C131" i="9"/>
  <c r="C132" i="9"/>
  <c r="C133" i="9"/>
  <c r="C134" i="9"/>
  <c r="C135" i="9"/>
  <c r="C136" i="9"/>
  <c r="C137" i="9"/>
  <c r="C138" i="9"/>
  <c r="C143" i="9"/>
  <c r="C147" i="9"/>
  <c r="C154" i="9"/>
  <c r="C155" i="9"/>
  <c r="C156" i="9"/>
  <c r="C157" i="9"/>
  <c r="C158" i="9"/>
  <c r="C159" i="9"/>
  <c r="C160" i="9"/>
  <c r="C161" i="9"/>
  <c r="C162" i="9"/>
  <c r="C164" i="9"/>
  <c r="C171" i="9"/>
  <c r="C178" i="9"/>
  <c r="C179" i="9"/>
  <c r="C180" i="9"/>
  <c r="C181" i="9"/>
  <c r="C182" i="9"/>
  <c r="C183" i="9"/>
  <c r="C184" i="9"/>
  <c r="C185" i="9"/>
  <c r="C186" i="9"/>
  <c r="C194" i="9"/>
  <c r="C195" i="9"/>
  <c r="C197" i="9"/>
  <c r="C198" i="9"/>
  <c r="C202" i="9"/>
  <c r="C203" i="9"/>
  <c r="C204" i="9"/>
  <c r="C205" i="9"/>
  <c r="C206" i="9"/>
  <c r="C207" i="9"/>
  <c r="C208" i="9"/>
  <c r="C209" i="9"/>
  <c r="C210" i="9"/>
  <c r="C219" i="9"/>
  <c r="C226" i="9"/>
  <c r="C227" i="9"/>
  <c r="C228" i="9"/>
  <c r="C229" i="9"/>
  <c r="C230" i="9"/>
  <c r="C231" i="9"/>
  <c r="C232" i="9"/>
  <c r="C233" i="9"/>
  <c r="C234" i="9"/>
  <c r="C239" i="9"/>
  <c r="C240" i="9"/>
  <c r="C242" i="9"/>
  <c r="C243" i="9"/>
  <c r="C250" i="9"/>
  <c r="C251" i="9"/>
  <c r="C252" i="9"/>
  <c r="C253" i="9"/>
  <c r="C254" i="9"/>
  <c r="C255" i="9"/>
  <c r="C256" i="9"/>
  <c r="C257" i="9"/>
  <c r="C258" i="9"/>
  <c r="C267" i="9"/>
  <c r="C274" i="9"/>
  <c r="C275" i="9"/>
  <c r="C276" i="9"/>
  <c r="C277" i="9"/>
  <c r="C278" i="9"/>
  <c r="C279" i="9"/>
  <c r="C280" i="9"/>
  <c r="C281" i="9"/>
  <c r="C282" i="9"/>
  <c r="C283" i="9"/>
  <c r="C284" i="9"/>
  <c r="C286" i="9"/>
  <c r="C291" i="9"/>
  <c r="C298" i="9"/>
  <c r="C299" i="9"/>
  <c r="C300" i="9"/>
  <c r="C301" i="9"/>
  <c r="C302" i="9"/>
  <c r="C303" i="9"/>
  <c r="C304" i="9"/>
  <c r="C305" i="9"/>
  <c r="C306" i="9"/>
  <c r="C314" i="9"/>
  <c r="C315" i="9"/>
  <c r="C317" i="9"/>
  <c r="C318" i="9"/>
  <c r="C322" i="9"/>
  <c r="C323" i="9"/>
  <c r="C324" i="9"/>
  <c r="C325" i="9"/>
  <c r="C326" i="9"/>
  <c r="C327" i="9"/>
  <c r="C328" i="9"/>
  <c r="C329" i="9"/>
  <c r="C330" i="9"/>
  <c r="C339" i="9"/>
  <c r="C346" i="9"/>
  <c r="C347" i="9"/>
  <c r="C348" i="9"/>
  <c r="C349" i="9"/>
  <c r="C350" i="9"/>
  <c r="C351" i="9"/>
  <c r="C352" i="9"/>
  <c r="C353" i="9"/>
  <c r="C354" i="9"/>
  <c r="C360" i="9"/>
  <c r="C361" i="9"/>
  <c r="C362" i="9"/>
  <c r="C363" i="9"/>
  <c r="C370" i="9"/>
  <c r="C371" i="9"/>
  <c r="C372" i="9"/>
  <c r="C373" i="9"/>
  <c r="C374" i="9"/>
  <c r="C375" i="9"/>
  <c r="C376" i="9"/>
  <c r="C377" i="9"/>
  <c r="C378" i="9"/>
  <c r="C387" i="9"/>
  <c r="C394" i="9"/>
  <c r="C395" i="9"/>
  <c r="C396" i="9"/>
  <c r="C397" i="9"/>
  <c r="C398" i="9"/>
  <c r="C399" i="9"/>
  <c r="C400" i="9"/>
  <c r="C401" i="9"/>
  <c r="C402" i="9"/>
  <c r="C403" i="9"/>
  <c r="C404" i="9"/>
  <c r="C406" i="9"/>
  <c r="C411" i="9"/>
  <c r="C418" i="9"/>
  <c r="C419" i="9"/>
  <c r="C420" i="9"/>
  <c r="C421" i="9"/>
  <c r="C422" i="9"/>
  <c r="C423" i="9"/>
  <c r="C424" i="9"/>
  <c r="C425" i="9"/>
  <c r="C426" i="9"/>
  <c r="C435" i="9"/>
  <c r="C436" i="9"/>
  <c r="C437" i="9"/>
  <c r="C438" i="9"/>
  <c r="C442" i="9"/>
  <c r="C443" i="9"/>
  <c r="C444" i="9"/>
  <c r="C445" i="9"/>
  <c r="C446" i="9"/>
  <c r="C447" i="9"/>
  <c r="C448" i="9"/>
  <c r="C449" i="9"/>
  <c r="C450" i="9"/>
  <c r="C455" i="9"/>
  <c r="C458" i="9"/>
  <c r="C459" i="9"/>
  <c r="C466" i="9"/>
  <c r="C467" i="9"/>
  <c r="C468" i="9"/>
  <c r="C469" i="9"/>
  <c r="C470" i="9"/>
  <c r="C471" i="9"/>
  <c r="C472" i="9"/>
  <c r="C473" i="9"/>
  <c r="C474" i="9"/>
  <c r="C478" i="9"/>
  <c r="C481" i="9"/>
  <c r="C482" i="9"/>
  <c r="C483" i="9"/>
  <c r="C490" i="9"/>
  <c r="C491" i="9"/>
  <c r="C492" i="9"/>
  <c r="C493" i="9"/>
  <c r="C494" i="9"/>
  <c r="C495" i="9"/>
  <c r="C496" i="9"/>
  <c r="C497" i="9"/>
  <c r="C498" i="9"/>
  <c r="C507" i="9"/>
  <c r="C511" i="9"/>
  <c r="C514" i="9"/>
  <c r="C515" i="9"/>
  <c r="C516" i="9"/>
  <c r="C517" i="9"/>
  <c r="C518" i="9"/>
  <c r="C519" i="9"/>
  <c r="C520" i="9"/>
  <c r="C521" i="9"/>
  <c r="C522" i="9"/>
  <c r="C525" i="9"/>
  <c r="C526" i="9"/>
  <c r="C527" i="9"/>
  <c r="C528" i="9"/>
  <c r="C530" i="9"/>
  <c r="C531" i="9"/>
  <c r="C538" i="9"/>
  <c r="C539" i="9"/>
  <c r="C540" i="9"/>
  <c r="C541" i="9"/>
  <c r="C542" i="9"/>
  <c r="C543" i="9"/>
  <c r="C544" i="9"/>
  <c r="C545" i="9"/>
  <c r="C546" i="9"/>
  <c r="C553" i="9"/>
  <c r="C554" i="9"/>
  <c r="C555" i="9"/>
  <c r="C562" i="9"/>
  <c r="C563" i="9"/>
  <c r="C564" i="9"/>
  <c r="C565" i="9"/>
  <c r="C566" i="9"/>
  <c r="C567" i="9"/>
  <c r="C568" i="9"/>
  <c r="C569" i="9"/>
  <c r="C570" i="9"/>
  <c r="C571" i="9"/>
  <c r="C572" i="9"/>
  <c r="C574" i="9"/>
  <c r="C578" i="9"/>
  <c r="C579" i="9"/>
  <c r="C586" i="9"/>
  <c r="C587" i="9"/>
  <c r="C588" i="9"/>
  <c r="C589" i="9"/>
  <c r="C590" i="9"/>
  <c r="C591" i="9"/>
  <c r="C592" i="9"/>
  <c r="C593" i="9"/>
  <c r="C594" i="9"/>
  <c r="C600" i="9"/>
  <c r="C603" i="9"/>
  <c r="C604" i="9"/>
  <c r="C605" i="9"/>
  <c r="C606" i="9"/>
  <c r="C610" i="9"/>
  <c r="C611" i="9"/>
  <c r="C612" i="9"/>
  <c r="C613" i="9"/>
  <c r="C614" i="9"/>
  <c r="C615" i="9"/>
  <c r="C616" i="9"/>
  <c r="C617" i="9"/>
  <c r="C618" i="9"/>
  <c r="C620" i="9"/>
  <c r="C626" i="9"/>
  <c r="C627" i="9"/>
  <c r="C633" i="9"/>
  <c r="C634" i="9"/>
  <c r="C635" i="9"/>
  <c r="C636" i="9"/>
  <c r="C637" i="9"/>
  <c r="C638" i="9"/>
  <c r="C639" i="9"/>
  <c r="C640" i="9"/>
  <c r="C641" i="9"/>
  <c r="C642" i="9"/>
  <c r="C646" i="9"/>
  <c r="C647" i="9"/>
  <c r="C648" i="9"/>
  <c r="C649" i="9"/>
  <c r="C650" i="9"/>
  <c r="C651" i="9"/>
  <c r="C653" i="9"/>
  <c r="C658" i="9"/>
  <c r="C659" i="9"/>
  <c r="C660" i="9"/>
  <c r="C661" i="9"/>
  <c r="C662" i="9"/>
  <c r="C663" i="9"/>
  <c r="C664" i="9"/>
  <c r="C665" i="9"/>
  <c r="C666" i="9"/>
  <c r="C670" i="9"/>
  <c r="C671" i="9"/>
  <c r="C672" i="9"/>
  <c r="C674" i="9"/>
  <c r="C675" i="9"/>
  <c r="C681" i="9"/>
  <c r="C682" i="9"/>
  <c r="C683" i="9"/>
  <c r="C684" i="9"/>
  <c r="C685" i="9"/>
  <c r="C686" i="9"/>
  <c r="C687" i="9"/>
  <c r="C688" i="9"/>
  <c r="C689" i="9"/>
  <c r="C690" i="9"/>
  <c r="C692" i="9"/>
  <c r="C695" i="9"/>
  <c r="C696" i="9"/>
  <c r="C697" i="9"/>
  <c r="C698" i="9"/>
  <c r="C699" i="9"/>
  <c r="C703" i="9"/>
  <c r="C705" i="9"/>
  <c r="C706" i="9"/>
  <c r="C707" i="9"/>
  <c r="C708" i="9"/>
  <c r="C709" i="9"/>
  <c r="C710" i="9"/>
  <c r="C711" i="9"/>
  <c r="C712" i="9"/>
  <c r="C713" i="9"/>
  <c r="C714" i="9"/>
  <c r="C718" i="9"/>
  <c r="C723" i="9"/>
  <c r="C730" i="9"/>
  <c r="C731" i="9"/>
  <c r="C732" i="9"/>
  <c r="C733" i="9"/>
  <c r="C734" i="9"/>
  <c r="C735" i="9"/>
  <c r="C736" i="9"/>
  <c r="C737" i="9"/>
  <c r="C738" i="9"/>
  <c r="C741" i="9"/>
  <c r="C742" i="9"/>
  <c r="C743" i="9"/>
  <c r="C744" i="9"/>
  <c r="C745" i="9"/>
  <c r="C746" i="9"/>
  <c r="C747" i="9"/>
  <c r="C754" i="9"/>
  <c r="C755" i="9"/>
  <c r="C756" i="9"/>
  <c r="C757" i="9"/>
  <c r="C758" i="9"/>
  <c r="C759" i="9"/>
  <c r="C760" i="9"/>
  <c r="C761" i="9"/>
  <c r="C762" i="9"/>
  <c r="C766" i="9"/>
  <c r="C771" i="9"/>
  <c r="C774" i="9"/>
  <c r="C777" i="9"/>
  <c r="C778" i="9"/>
  <c r="C779" i="9"/>
  <c r="C3" i="9"/>
  <c r="C4" i="9"/>
  <c r="C5" i="9"/>
  <c r="C6" i="9"/>
  <c r="C7" i="9"/>
  <c r="C8" i="9"/>
  <c r="C9" i="9"/>
  <c r="C19" i="9"/>
  <c r="C20" i="9"/>
  <c r="C21" i="9"/>
  <c r="C22" i="9"/>
  <c r="C23" i="9"/>
  <c r="C24" i="9"/>
  <c r="C25" i="9"/>
  <c r="C26" i="9"/>
  <c r="C28" i="9"/>
  <c r="C29" i="9"/>
  <c r="C30" i="9"/>
  <c r="C31" i="9"/>
  <c r="C32" i="9"/>
  <c r="C33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67" i="9"/>
  <c r="C68" i="9"/>
  <c r="C69" i="9"/>
  <c r="C70" i="9"/>
  <c r="C71" i="9"/>
  <c r="C72" i="9"/>
  <c r="C73" i="9"/>
  <c r="C76" i="9"/>
  <c r="C77" i="9"/>
  <c r="C78" i="9"/>
  <c r="C79" i="9"/>
  <c r="C80" i="9"/>
  <c r="C81" i="9"/>
  <c r="C91" i="9"/>
  <c r="C92" i="9"/>
  <c r="C93" i="9"/>
  <c r="C95" i="9"/>
  <c r="C96" i="9"/>
  <c r="C97" i="9"/>
  <c r="C98" i="9"/>
  <c r="C100" i="9"/>
  <c r="C101" i="9"/>
  <c r="C102" i="9"/>
  <c r="C103" i="9"/>
  <c r="C104" i="9"/>
  <c r="C105" i="9"/>
  <c r="C115" i="9"/>
  <c r="C116" i="9"/>
  <c r="C117" i="9"/>
  <c r="C118" i="9"/>
  <c r="C119" i="9"/>
  <c r="C121" i="9"/>
  <c r="C124" i="9"/>
  <c r="C125" i="9"/>
  <c r="C126" i="9"/>
  <c r="C127" i="9"/>
  <c r="C128" i="9"/>
  <c r="C129" i="9"/>
  <c r="C139" i="9"/>
  <c r="C140" i="9"/>
  <c r="C141" i="9"/>
  <c r="C142" i="9"/>
  <c r="C144" i="9"/>
  <c r="C145" i="9"/>
  <c r="C146" i="9"/>
  <c r="C148" i="9"/>
  <c r="C149" i="9"/>
  <c r="C150" i="9"/>
  <c r="C151" i="9"/>
  <c r="C152" i="9"/>
  <c r="C153" i="9"/>
  <c r="C163" i="9"/>
  <c r="C165" i="9"/>
  <c r="C166" i="9"/>
  <c r="C167" i="9"/>
  <c r="C168" i="9"/>
  <c r="C169" i="9"/>
  <c r="C170" i="9"/>
  <c r="C172" i="9"/>
  <c r="C173" i="9"/>
  <c r="C174" i="9"/>
  <c r="C175" i="9"/>
  <c r="C176" i="9"/>
  <c r="C177" i="9"/>
  <c r="C187" i="9"/>
  <c r="C188" i="9"/>
  <c r="C189" i="9"/>
  <c r="C190" i="9"/>
  <c r="C191" i="9"/>
  <c r="C192" i="9"/>
  <c r="C193" i="9"/>
  <c r="C196" i="9"/>
  <c r="C199" i="9"/>
  <c r="C200" i="9"/>
  <c r="C201" i="9"/>
  <c r="C211" i="9"/>
  <c r="C212" i="9"/>
  <c r="C213" i="9"/>
  <c r="C214" i="9"/>
  <c r="C215" i="9"/>
  <c r="C216" i="9"/>
  <c r="C217" i="9"/>
  <c r="C218" i="9"/>
  <c r="C220" i="9"/>
  <c r="C221" i="9"/>
  <c r="C222" i="9"/>
  <c r="C223" i="9"/>
  <c r="C224" i="9"/>
  <c r="C225" i="9"/>
  <c r="C235" i="9"/>
  <c r="C236" i="9"/>
  <c r="C237" i="9"/>
  <c r="C238" i="9"/>
  <c r="C241" i="9"/>
  <c r="C244" i="9"/>
  <c r="C245" i="9"/>
  <c r="C246" i="9"/>
  <c r="C247" i="9"/>
  <c r="C248" i="9"/>
  <c r="C249" i="9"/>
  <c r="C259" i="9"/>
  <c r="C260" i="9"/>
  <c r="C261" i="9"/>
  <c r="C262" i="9"/>
  <c r="C263" i="9"/>
  <c r="C264" i="9"/>
  <c r="C265" i="9"/>
  <c r="C266" i="9"/>
  <c r="C268" i="9"/>
  <c r="C269" i="9"/>
  <c r="C270" i="9"/>
  <c r="C271" i="9"/>
  <c r="C272" i="9"/>
  <c r="C273" i="9"/>
  <c r="C285" i="9"/>
  <c r="C287" i="9"/>
  <c r="C288" i="9"/>
  <c r="C289" i="9"/>
  <c r="C290" i="9"/>
  <c r="C292" i="9"/>
  <c r="C293" i="9"/>
  <c r="C294" i="9"/>
  <c r="C295" i="9"/>
  <c r="C296" i="9"/>
  <c r="C297" i="9"/>
  <c r="C307" i="9"/>
  <c r="C308" i="9"/>
  <c r="C309" i="9"/>
  <c r="C310" i="9"/>
  <c r="C311" i="9"/>
  <c r="C312" i="9"/>
  <c r="C313" i="9"/>
  <c r="C316" i="9"/>
  <c r="C319" i="9"/>
  <c r="C320" i="9"/>
  <c r="C321" i="9"/>
  <c r="C331" i="9"/>
  <c r="C332" i="9"/>
  <c r="C333" i="9"/>
  <c r="C334" i="9"/>
  <c r="C335" i="9"/>
  <c r="C336" i="9"/>
  <c r="C337" i="9"/>
  <c r="C338" i="9"/>
  <c r="C340" i="9"/>
  <c r="C341" i="9"/>
  <c r="C342" i="9"/>
  <c r="C343" i="9"/>
  <c r="C344" i="9"/>
  <c r="C345" i="9"/>
  <c r="C355" i="9"/>
  <c r="C356" i="9"/>
  <c r="C357" i="9"/>
  <c r="C358" i="9"/>
  <c r="C359" i="9"/>
  <c r="C364" i="9"/>
  <c r="C365" i="9"/>
  <c r="C366" i="9"/>
  <c r="C367" i="9"/>
  <c r="C368" i="9"/>
  <c r="C369" i="9"/>
  <c r="C379" i="9"/>
  <c r="C380" i="9"/>
  <c r="C381" i="9"/>
  <c r="C382" i="9"/>
  <c r="C383" i="9"/>
  <c r="C384" i="9"/>
  <c r="C385" i="9"/>
  <c r="C386" i="9"/>
  <c r="C388" i="9"/>
  <c r="C389" i="9"/>
  <c r="C390" i="9"/>
  <c r="C391" i="9"/>
  <c r="C392" i="9"/>
  <c r="C393" i="9"/>
  <c r="C405" i="9"/>
  <c r="C407" i="9"/>
  <c r="C408" i="9"/>
  <c r="C409" i="9"/>
  <c r="C410" i="9"/>
  <c r="C412" i="9"/>
  <c r="C413" i="9"/>
  <c r="C414" i="9"/>
  <c r="C415" i="9"/>
  <c r="C416" i="9"/>
  <c r="C417" i="9"/>
  <c r="C427" i="9"/>
  <c r="C428" i="9"/>
  <c r="C429" i="9"/>
  <c r="C430" i="9"/>
  <c r="C431" i="9"/>
  <c r="C432" i="9"/>
  <c r="C433" i="9"/>
  <c r="C434" i="9"/>
  <c r="C439" i="9"/>
  <c r="C440" i="9"/>
  <c r="C441" i="9"/>
  <c r="C451" i="9"/>
  <c r="C452" i="9"/>
  <c r="C453" i="9"/>
  <c r="C454" i="9"/>
  <c r="C456" i="9"/>
  <c r="C457" i="9"/>
  <c r="C460" i="9"/>
  <c r="C461" i="9"/>
  <c r="C462" i="9"/>
  <c r="C463" i="9"/>
  <c r="C464" i="9"/>
  <c r="C465" i="9"/>
  <c r="C475" i="9"/>
  <c r="C476" i="9"/>
  <c r="C477" i="9"/>
  <c r="C479" i="9"/>
  <c r="C480" i="9"/>
  <c r="C484" i="9"/>
  <c r="C485" i="9"/>
  <c r="C486" i="9"/>
  <c r="C487" i="9"/>
  <c r="C488" i="9"/>
  <c r="C489" i="9"/>
  <c r="C499" i="9"/>
  <c r="C500" i="9"/>
  <c r="C501" i="9"/>
  <c r="C502" i="9"/>
  <c r="C503" i="9"/>
  <c r="C504" i="9"/>
  <c r="C505" i="9"/>
  <c r="C506" i="9"/>
  <c r="C508" i="9"/>
  <c r="C509" i="9"/>
  <c r="C510" i="9"/>
  <c r="C512" i="9"/>
  <c r="C513" i="9"/>
  <c r="C523" i="9"/>
  <c r="C524" i="9"/>
  <c r="C529" i="9"/>
  <c r="C532" i="9"/>
  <c r="C533" i="9"/>
  <c r="C534" i="9"/>
  <c r="C535" i="9"/>
  <c r="C536" i="9"/>
  <c r="C537" i="9"/>
  <c r="C547" i="9"/>
  <c r="C548" i="9"/>
  <c r="C549" i="9"/>
  <c r="C550" i="9"/>
  <c r="C551" i="9"/>
  <c r="C552" i="9"/>
  <c r="C556" i="9"/>
  <c r="C557" i="9"/>
  <c r="C558" i="9"/>
  <c r="C559" i="9"/>
  <c r="C560" i="9"/>
  <c r="C561" i="9"/>
  <c r="C573" i="9"/>
  <c r="C575" i="9"/>
  <c r="C576" i="9"/>
  <c r="C577" i="9"/>
  <c r="C580" i="9"/>
  <c r="C581" i="9"/>
  <c r="C582" i="9"/>
  <c r="C583" i="9"/>
  <c r="C584" i="9"/>
  <c r="C585" i="9"/>
  <c r="C595" i="9"/>
  <c r="C596" i="9"/>
  <c r="C597" i="9"/>
  <c r="C598" i="9"/>
  <c r="C599" i="9"/>
  <c r="C601" i="9"/>
  <c r="C602" i="9"/>
  <c r="C607" i="9"/>
  <c r="C608" i="9"/>
  <c r="C609" i="9"/>
  <c r="C619" i="9"/>
  <c r="C621" i="9"/>
  <c r="C622" i="9"/>
  <c r="C623" i="9"/>
  <c r="C624" i="9"/>
  <c r="C625" i="9"/>
  <c r="C628" i="9"/>
  <c r="C629" i="9"/>
  <c r="C630" i="9"/>
  <c r="C631" i="9"/>
  <c r="C632" i="9"/>
  <c r="C643" i="9"/>
  <c r="C644" i="9"/>
  <c r="C645" i="9"/>
  <c r="C652" i="9"/>
  <c r="C654" i="9"/>
  <c r="C655" i="9"/>
  <c r="C656" i="9"/>
  <c r="C657" i="9"/>
  <c r="C667" i="9"/>
  <c r="C668" i="9"/>
  <c r="C669" i="9"/>
  <c r="C673" i="9"/>
  <c r="C676" i="9"/>
  <c r="C677" i="9"/>
  <c r="C678" i="9"/>
  <c r="C679" i="9"/>
  <c r="C680" i="9"/>
  <c r="C691" i="9"/>
  <c r="C693" i="9"/>
  <c r="C694" i="9"/>
  <c r="C700" i="9"/>
  <c r="C701" i="9"/>
  <c r="C702" i="9"/>
  <c r="C704" i="9"/>
  <c r="C715" i="9"/>
  <c r="C716" i="9"/>
  <c r="C717" i="9"/>
  <c r="C719" i="9"/>
  <c r="C720" i="9"/>
  <c r="C721" i="9"/>
  <c r="C722" i="9"/>
  <c r="C724" i="9"/>
  <c r="C725" i="9"/>
  <c r="C726" i="9"/>
  <c r="C727" i="9"/>
  <c r="C728" i="9"/>
  <c r="C729" i="9"/>
  <c r="C739" i="9"/>
  <c r="C740" i="9"/>
  <c r="C748" i="9"/>
  <c r="C749" i="9"/>
  <c r="C750" i="9"/>
  <c r="C751" i="9"/>
  <c r="C752" i="9"/>
  <c r="C753" i="9"/>
  <c r="C763" i="9"/>
  <c r="C764" i="9"/>
  <c r="C765" i="9"/>
  <c r="C767" i="9"/>
  <c r="C768" i="9"/>
  <c r="C769" i="9"/>
  <c r="C770" i="9"/>
  <c r="C772" i="9"/>
  <c r="C773" i="9"/>
  <c r="C775" i="9"/>
  <c r="C776" i="9"/>
  <c r="A56" i="7" l="1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B39" i="7"/>
  <c r="A39" i="7"/>
  <c r="C4" i="7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7" i="11" s="1"/>
  <c r="A888" i="11" s="1"/>
  <c r="A889" i="11" s="1"/>
  <c r="A890" i="11" s="1"/>
  <c r="A891" i="11" s="1"/>
  <c r="A892" i="11" s="1"/>
  <c r="A893" i="11" s="1"/>
  <c r="A894" i="11" s="1"/>
  <c r="A895" i="11" s="1"/>
  <c r="A896" i="11" s="1"/>
  <c r="A897" i="11" s="1"/>
  <c r="A898" i="11" s="1"/>
  <c r="A899" i="11" s="1"/>
  <c r="A900" i="11" s="1"/>
  <c r="A901" i="11" s="1"/>
  <c r="A902" i="11" s="1"/>
  <c r="A903" i="11" s="1"/>
  <c r="A904" i="11" s="1"/>
  <c r="A905" i="11" s="1"/>
  <c r="A906" i="11" s="1"/>
  <c r="A907" i="11" s="1"/>
  <c r="A908" i="11" s="1"/>
  <c r="A909" i="11" s="1"/>
  <c r="A910" i="11" s="1"/>
  <c r="A911" i="11" s="1"/>
  <c r="A912" i="11" s="1"/>
  <c r="A913" i="11" s="1"/>
  <c r="A914" i="11" s="1"/>
  <c r="A915" i="11" s="1"/>
  <c r="A916" i="11" s="1"/>
  <c r="A917" i="11" s="1"/>
  <c r="A918" i="11" s="1"/>
  <c r="A919" i="11" s="1"/>
  <c r="A920" i="11" s="1"/>
  <c r="A921" i="11" s="1"/>
  <c r="A922" i="11" s="1"/>
  <c r="A923" i="11" s="1"/>
  <c r="A924" i="11" s="1"/>
  <c r="A925" i="11" s="1"/>
  <c r="A926" i="11" s="1"/>
  <c r="A927" i="11" s="1"/>
  <c r="A928" i="11" s="1"/>
  <c r="A929" i="11" s="1"/>
  <c r="A930" i="11" s="1"/>
  <c r="A931" i="11" s="1"/>
  <c r="A932" i="11" s="1"/>
  <c r="A933" i="11" s="1"/>
  <c r="A934" i="11" s="1"/>
  <c r="A935" i="11" s="1"/>
  <c r="A936" i="11" s="1"/>
  <c r="A937" i="11" s="1"/>
  <c r="A938" i="11" s="1"/>
  <c r="A939" i="11" s="1"/>
  <c r="A940" i="11" s="1"/>
  <c r="A941" i="11" s="1"/>
  <c r="A942" i="11" s="1"/>
  <c r="A943" i="11" s="1"/>
  <c r="A944" i="11" s="1"/>
  <c r="A945" i="11" s="1"/>
  <c r="A946" i="11" s="1"/>
  <c r="A947" i="11" s="1"/>
  <c r="A948" i="11" s="1"/>
  <c r="A949" i="11" s="1"/>
  <c r="A950" i="11" s="1"/>
  <c r="A951" i="11" s="1"/>
  <c r="A952" i="11" s="1"/>
  <c r="A953" i="11" s="1"/>
  <c r="A954" i="11" s="1"/>
  <c r="A955" i="11" s="1"/>
  <c r="A956" i="11" s="1"/>
  <c r="A957" i="11" s="1"/>
  <c r="A958" i="11" s="1"/>
  <c r="A959" i="11" s="1"/>
  <c r="A960" i="11" s="1"/>
  <c r="A961" i="11" s="1"/>
  <c r="A962" i="11" s="1"/>
  <c r="A963" i="11" s="1"/>
  <c r="A964" i="11" s="1"/>
  <c r="A965" i="11" s="1"/>
  <c r="A966" i="11" s="1"/>
  <c r="A967" i="11" s="1"/>
  <c r="A968" i="11" s="1"/>
  <c r="A969" i="11" s="1"/>
  <c r="A970" i="11" s="1"/>
  <c r="A971" i="11" s="1"/>
  <c r="A972" i="11" s="1"/>
  <c r="A973" i="11" s="1"/>
  <c r="A974" i="11" s="1"/>
  <c r="A975" i="11" s="1"/>
  <c r="A976" i="11" s="1"/>
  <c r="A977" i="11" s="1"/>
  <c r="A978" i="11" s="1"/>
  <c r="A979" i="11" s="1"/>
  <c r="A980" i="11" s="1"/>
  <c r="A981" i="11" s="1"/>
  <c r="A982" i="11" s="1"/>
  <c r="A983" i="11" s="1"/>
  <c r="A984" i="11" s="1"/>
  <c r="A985" i="11" s="1"/>
  <c r="A986" i="11" s="1"/>
  <c r="A987" i="11" s="1"/>
  <c r="A988" i="11" s="1"/>
  <c r="A989" i="11" s="1"/>
  <c r="A990" i="11" s="1"/>
  <c r="A991" i="11" s="1"/>
  <c r="A992" i="11" s="1"/>
  <c r="A993" i="11" s="1"/>
  <c r="A994" i="11" s="1"/>
  <c r="A995" i="11" s="1"/>
  <c r="A996" i="11" s="1"/>
  <c r="A997" i="11" s="1"/>
  <c r="A998" i="11" s="1"/>
  <c r="A999" i="11" s="1"/>
  <c r="A1000" i="11" s="1"/>
  <c r="A1001" i="11" s="1"/>
  <c r="A1002" i="11" s="1"/>
  <c r="A1003" i="11" s="1"/>
  <c r="A1004" i="11" s="1"/>
  <c r="A1005" i="11" s="1"/>
  <c r="A1006" i="11" s="1"/>
  <c r="A1007" i="11" s="1"/>
  <c r="A1008" i="11" s="1"/>
  <c r="A1009" i="11" s="1"/>
  <c r="A1010" i="11" s="1"/>
  <c r="A1011" i="11" s="1"/>
  <c r="A1012" i="11" s="1"/>
  <c r="A1013" i="11" s="1"/>
  <c r="A1014" i="11" s="1"/>
  <c r="A1015" i="11" s="1"/>
  <c r="A1016" i="11" s="1"/>
  <c r="A1017" i="11" s="1"/>
  <c r="A1018" i="11" s="1"/>
  <c r="A1019" i="11" s="1"/>
  <c r="A1020" i="11" s="1"/>
  <c r="A1021" i="11" s="1"/>
  <c r="A1022" i="11" s="1"/>
  <c r="A1023" i="11" s="1"/>
  <c r="A1024" i="11" s="1"/>
  <c r="A1025" i="11" s="1"/>
  <c r="A1026" i="11" s="1"/>
  <c r="A1027" i="11" s="1"/>
  <c r="A1028" i="11" s="1"/>
  <c r="A1029" i="11" s="1"/>
  <c r="A1030" i="11" s="1"/>
  <c r="A1031" i="11" s="1"/>
  <c r="A1032" i="11" s="1"/>
  <c r="A1033" i="11" s="1"/>
  <c r="A1034" i="11" s="1"/>
  <c r="A1035" i="11" s="1"/>
  <c r="A1036" i="11" s="1"/>
  <c r="A1037" i="11" s="1"/>
  <c r="A1038" i="11" s="1"/>
  <c r="A1039" i="11" s="1"/>
  <c r="A1040" i="11" s="1"/>
  <c r="A1041" i="11" s="1"/>
  <c r="A1042" i="11" s="1"/>
  <c r="A1043" i="11" s="1"/>
  <c r="A1044" i="11" s="1"/>
  <c r="A1045" i="11" s="1"/>
  <c r="A1046" i="11" s="1"/>
  <c r="A1047" i="11" s="1"/>
  <c r="A1048" i="11" s="1"/>
  <c r="A1049" i="11" s="1"/>
  <c r="A1050" i="11" s="1"/>
  <c r="A1051" i="11" s="1"/>
  <c r="A1052" i="11" s="1"/>
  <c r="A1053" i="11" s="1"/>
  <c r="A1054" i="11" s="1"/>
  <c r="A1055" i="11" s="1"/>
  <c r="A1056" i="11" s="1"/>
  <c r="A1057" i="11" s="1"/>
  <c r="A1058" i="11" s="1"/>
  <c r="A1059" i="11" s="1"/>
  <c r="A1060" i="11" s="1"/>
  <c r="A1061" i="11" s="1"/>
  <c r="A1062" i="11" s="1"/>
  <c r="A1063" i="11" s="1"/>
  <c r="A1064" i="11" s="1"/>
  <c r="A1065" i="11" s="1"/>
  <c r="A1066" i="11" s="1"/>
  <c r="A1067" i="11" s="1"/>
  <c r="A1068" i="11" s="1"/>
  <c r="A1069" i="11" s="1"/>
  <c r="A1070" i="11" s="1"/>
  <c r="A1071" i="11" s="1"/>
  <c r="A1072" i="11" s="1"/>
  <c r="A1073" i="11" s="1"/>
  <c r="A1074" i="11" s="1"/>
  <c r="A1075" i="11" s="1"/>
  <c r="A1076" i="11" s="1"/>
  <c r="A1077" i="11" s="1"/>
  <c r="A1078" i="11" s="1"/>
  <c r="A1079" i="11" s="1"/>
  <c r="A1080" i="11" s="1"/>
  <c r="A1081" i="11" s="1"/>
  <c r="A1082" i="11" s="1"/>
  <c r="A1083" i="11" s="1"/>
  <c r="A1084" i="11" s="1"/>
  <c r="A1085" i="11" s="1"/>
  <c r="A1086" i="11" s="1"/>
  <c r="A1087" i="11" s="1"/>
  <c r="A1088" i="11" s="1"/>
  <c r="A1089" i="11" s="1"/>
  <c r="A1090" i="11" s="1"/>
  <c r="A1091" i="11" s="1"/>
  <c r="A1092" i="11" s="1"/>
  <c r="A1093" i="11" s="1"/>
  <c r="A1094" i="11" s="1"/>
  <c r="A1095" i="11" s="1"/>
  <c r="A1096" i="11" s="1"/>
  <c r="A1097" i="11" s="1"/>
  <c r="A1098" i="11" s="1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F38" i="7" l="1"/>
  <c r="E36" i="7"/>
  <c r="G38" i="7" l="1"/>
  <c r="AF8" i="7"/>
  <c r="C9" i="7"/>
  <c r="Y8" i="7"/>
  <c r="AG8" i="7"/>
  <c r="AC9" i="7"/>
  <c r="AC10" i="7" s="1"/>
  <c r="AD9" i="7"/>
  <c r="AD10" i="7" s="1"/>
  <c r="Z8" i="7"/>
  <c r="AA8" i="7"/>
  <c r="AB8" i="7"/>
  <c r="AC8" i="7"/>
  <c r="AD8" i="7"/>
  <c r="B26" i="7"/>
  <c r="AE8" i="7"/>
  <c r="D9" i="7"/>
  <c r="D10" i="7" s="1"/>
  <c r="H9" i="7"/>
  <c r="H10" i="7" s="1"/>
  <c r="E9" i="7"/>
  <c r="E10" i="7" s="1"/>
  <c r="F9" i="7"/>
  <c r="F10" i="7" s="1"/>
  <c r="C8" i="7"/>
  <c r="R9" i="7"/>
  <c r="R10" i="7" s="1"/>
  <c r="D8" i="7"/>
  <c r="S9" i="7"/>
  <c r="S10" i="7" s="1"/>
  <c r="E8" i="7"/>
  <c r="T9" i="7"/>
  <c r="T10" i="7" s="1"/>
  <c r="F8" i="7"/>
  <c r="U9" i="7"/>
  <c r="U10" i="7" s="1"/>
  <c r="G8" i="7"/>
  <c r="V9" i="7"/>
  <c r="V10" i="7" s="1"/>
  <c r="H8" i="7"/>
  <c r="W9" i="7"/>
  <c r="W10" i="7" s="1"/>
  <c r="I8" i="7"/>
  <c r="X9" i="7"/>
  <c r="X10" i="7" s="1"/>
  <c r="J8" i="7"/>
  <c r="Y9" i="7"/>
  <c r="Y10" i="7" s="1"/>
  <c r="K8" i="7"/>
  <c r="Z9" i="7"/>
  <c r="Z10" i="7" s="1"/>
  <c r="L8" i="7"/>
  <c r="AA9" i="7"/>
  <c r="AA10" i="7" s="1"/>
  <c r="M8" i="7"/>
  <c r="AB9" i="7"/>
  <c r="AB10" i="7" s="1"/>
  <c r="AG9" i="7"/>
  <c r="AG10" i="7" s="1"/>
  <c r="C37" i="7"/>
  <c r="D37" i="7"/>
  <c r="E37" i="7"/>
  <c r="L4" i="7"/>
  <c r="L9" i="7"/>
  <c r="L10" i="7" s="1"/>
  <c r="G37" i="7"/>
  <c r="U8" i="7"/>
  <c r="N9" i="7"/>
  <c r="N10" i="7" s="1"/>
  <c r="I9" i="7"/>
  <c r="I10" i="7" s="1"/>
  <c r="O8" i="7"/>
  <c r="AF9" i="7"/>
  <c r="AF10" i="7" s="1"/>
  <c r="P8" i="7"/>
  <c r="J9" i="7"/>
  <c r="J10" i="7" s="1"/>
  <c r="R8" i="7"/>
  <c r="S8" i="7"/>
  <c r="F37" i="7"/>
  <c r="T8" i="7"/>
  <c r="V8" i="7"/>
  <c r="W8" i="7"/>
  <c r="P9" i="7"/>
  <c r="P10" i="7" s="1"/>
  <c r="Q8" i="7"/>
  <c r="K9" i="7"/>
  <c r="K10" i="7" s="1"/>
  <c r="M9" i="7"/>
  <c r="M10" i="7" s="1"/>
  <c r="O9" i="7"/>
  <c r="O10" i="7" s="1"/>
  <c r="X8" i="7"/>
  <c r="Q9" i="7"/>
  <c r="Q10" i="7" s="1"/>
  <c r="N8" i="7"/>
  <c r="G9" i="7"/>
  <c r="G10" i="7" s="1"/>
  <c r="AE9" i="7"/>
  <c r="AE10" i="7" s="1"/>
  <c r="E38" i="7" l="1"/>
  <c r="C14" i="7"/>
  <c r="C10" i="7"/>
  <c r="D38" i="7"/>
  <c r="J26" i="7"/>
  <c r="C38" i="7"/>
  <c r="L13" i="7"/>
  <c r="L14" i="7"/>
  <c r="T13" i="7"/>
  <c r="T14" i="7"/>
  <c r="F14" i="7"/>
  <c r="F13" i="7"/>
  <c r="S13" i="7"/>
  <c r="S14" i="7"/>
  <c r="R13" i="7"/>
  <c r="R14" i="7"/>
  <c r="O13" i="7"/>
  <c r="O14" i="7"/>
  <c r="E14" i="7"/>
  <c r="E13" i="7"/>
  <c r="V13" i="7"/>
  <c r="V14" i="7"/>
  <c r="AG13" i="7"/>
  <c r="AG14" i="7"/>
  <c r="M13" i="7"/>
  <c r="M14" i="7"/>
  <c r="AB14" i="7"/>
  <c r="AB13" i="7"/>
  <c r="K13" i="7"/>
  <c r="K14" i="7"/>
  <c r="H13" i="7"/>
  <c r="H14" i="7"/>
  <c r="I13" i="7"/>
  <c r="I14" i="7"/>
  <c r="N13" i="7"/>
  <c r="N14" i="7"/>
  <c r="U14" i="7"/>
  <c r="U13" i="7"/>
  <c r="G14" i="7"/>
  <c r="G13" i="7"/>
  <c r="AE14" i="7"/>
  <c r="AE13" i="7"/>
  <c r="Q13" i="7"/>
  <c r="Q14" i="7"/>
  <c r="P13" i="7"/>
  <c r="P14" i="7"/>
  <c r="AA14" i="7"/>
  <c r="AA13" i="7"/>
  <c r="D14" i="7"/>
  <c r="D13" i="7"/>
  <c r="Z14" i="7"/>
  <c r="Z13" i="7"/>
  <c r="Y14" i="7"/>
  <c r="Y13" i="7"/>
  <c r="J13" i="7"/>
  <c r="J14" i="7"/>
  <c r="X14" i="7"/>
  <c r="X13" i="7"/>
  <c r="AD14" i="7"/>
  <c r="AD13" i="7"/>
  <c r="AF13" i="7"/>
  <c r="AF14" i="7"/>
  <c r="W13" i="7"/>
  <c r="W14" i="7"/>
  <c r="AC14" i="7"/>
  <c r="AC13" i="7"/>
  <c r="C13" i="7"/>
  <c r="I16" i="7"/>
  <c r="T16" i="7"/>
  <c r="R16" i="7"/>
  <c r="AE16" i="7"/>
  <c r="K16" i="7"/>
  <c r="H16" i="7"/>
  <c r="AG16" i="7"/>
  <c r="AB16" i="7"/>
  <c r="P16" i="7"/>
  <c r="AA16" i="7"/>
  <c r="D16" i="7"/>
  <c r="L16" i="7"/>
  <c r="Q16" i="7"/>
  <c r="F16" i="7"/>
  <c r="U16" i="7"/>
  <c r="G16" i="7"/>
  <c r="S16" i="7"/>
  <c r="O16" i="7"/>
  <c r="M16" i="7"/>
  <c r="E16" i="7"/>
  <c r="Y16" i="7"/>
  <c r="J16" i="7"/>
  <c r="AD16" i="7"/>
  <c r="V16" i="7"/>
  <c r="N16" i="7"/>
  <c r="Z16" i="7"/>
  <c r="X16" i="7"/>
  <c r="AF16" i="7"/>
  <c r="W16" i="7"/>
  <c r="AC16" i="7"/>
  <c r="C16" i="7"/>
  <c r="AG11" i="7"/>
  <c r="AG12" i="7"/>
  <c r="X21" i="7"/>
  <c r="V21" i="7"/>
  <c r="B21" i="7"/>
  <c r="R21" i="7"/>
  <c r="AC21" i="7"/>
  <c r="AB21" i="7"/>
  <c r="L26" i="7"/>
  <c r="F26" i="7"/>
  <c r="U26" i="7"/>
  <c r="N26" i="7"/>
  <c r="Y26" i="7"/>
  <c r="K26" i="7"/>
  <c r="T21" i="7"/>
  <c r="U21" i="7"/>
  <c r="D21" i="7"/>
  <c r="M26" i="7"/>
  <c r="I26" i="7"/>
  <c r="Z21" i="7"/>
  <c r="C21" i="7"/>
  <c r="W21" i="7"/>
  <c r="G21" i="7"/>
  <c r="S21" i="7"/>
  <c r="Q21" i="7"/>
  <c r="Y21" i="7"/>
  <c r="AA21" i="7"/>
  <c r="E21" i="7"/>
  <c r="C26" i="7"/>
  <c r="Z26" i="7"/>
  <c r="G26" i="7"/>
  <c r="D26" i="7"/>
  <c r="E26" i="7"/>
  <c r="X26" i="7"/>
  <c r="W26" i="7"/>
  <c r="V26" i="7"/>
  <c r="T26" i="7"/>
  <c r="S26" i="7"/>
  <c r="R26" i="7"/>
  <c r="Q26" i="7"/>
  <c r="P26" i="7"/>
  <c r="O26" i="7"/>
  <c r="H26" i="7"/>
  <c r="N21" i="7"/>
  <c r="J21" i="7"/>
  <c r="K21" i="7"/>
  <c r="AD21" i="7"/>
  <c r="L21" i="7"/>
  <c r="F21" i="7"/>
  <c r="I21" i="7"/>
  <c r="M21" i="7"/>
  <c r="AF21" i="7"/>
  <c r="H21" i="7"/>
  <c r="P21" i="7"/>
  <c r="AE21" i="7"/>
  <c r="O21" i="7"/>
  <c r="AG15" i="7" l="1"/>
  <c r="AF24" i="7"/>
  <c r="AF23" i="7"/>
  <c r="AF22" i="7" s="1"/>
  <c r="J12" i="7" l="1"/>
  <c r="I23" i="7" s="1"/>
  <c r="I22" i="7" s="1"/>
  <c r="I12" i="7"/>
  <c r="P12" i="7"/>
  <c r="W12" i="7"/>
  <c r="V23" i="7" s="1"/>
  <c r="V22" i="7" s="1"/>
  <c r="G12" i="7"/>
  <c r="F23" i="7" s="1"/>
  <c r="F22" i="7" s="1"/>
  <c r="AA12" i="7"/>
  <c r="V12" i="7"/>
  <c r="Y12" i="7"/>
  <c r="Z12" i="7"/>
  <c r="Y23" i="7" s="1"/>
  <c r="Y22" i="7" s="1"/>
  <c r="H12" i="7"/>
  <c r="E12" i="7"/>
  <c r="U12" i="7"/>
  <c r="R12" i="7"/>
  <c r="AB12" i="7"/>
  <c r="K12" i="7"/>
  <c r="J23" i="7" s="1"/>
  <c r="J22" i="7" s="1"/>
  <c r="N12" i="7"/>
  <c r="T12" i="7"/>
  <c r="AC12" i="7"/>
  <c r="L12" i="7"/>
  <c r="X12" i="7"/>
  <c r="W23" i="7" s="1"/>
  <c r="W22" i="7" s="1"/>
  <c r="AF12" i="7"/>
  <c r="D12" i="7"/>
  <c r="M12" i="7"/>
  <c r="F12" i="7"/>
  <c r="O12" i="7"/>
  <c r="Q12" i="7"/>
  <c r="AE12" i="7"/>
  <c r="AD12" i="7"/>
  <c r="S12" i="7"/>
  <c r="R23" i="7" s="1"/>
  <c r="R22" i="7" s="1"/>
  <c r="C12" i="7"/>
  <c r="O11" i="7"/>
  <c r="R11" i="7"/>
  <c r="U11" i="7"/>
  <c r="AC11" i="7"/>
  <c r="Q11" i="7"/>
  <c r="G11" i="7"/>
  <c r="L11" i="7"/>
  <c r="S11" i="7"/>
  <c r="AB11" i="7"/>
  <c r="AF11" i="7"/>
  <c r="M11" i="7"/>
  <c r="E11" i="7"/>
  <c r="K11" i="7"/>
  <c r="X11" i="7"/>
  <c r="Y11" i="7"/>
  <c r="V11" i="7"/>
  <c r="Z11" i="7"/>
  <c r="AD11" i="7"/>
  <c r="H11" i="7"/>
  <c r="W11" i="7"/>
  <c r="N11" i="7"/>
  <c r="F11" i="7"/>
  <c r="T11" i="7"/>
  <c r="P11" i="7"/>
  <c r="D11" i="7"/>
  <c r="AA11" i="7"/>
  <c r="I11" i="7"/>
  <c r="AE11" i="7"/>
  <c r="J11" i="7"/>
  <c r="C11" i="7"/>
  <c r="AE15" i="7" l="1"/>
  <c r="P15" i="7"/>
  <c r="AA15" i="7"/>
  <c r="L15" i="7"/>
  <c r="AB15" i="7"/>
  <c r="AC15" i="7"/>
  <c r="I15" i="7"/>
  <c r="T15" i="7"/>
  <c r="K15" i="7"/>
  <c r="R15" i="7"/>
  <c r="U15" i="7"/>
  <c r="O15" i="7"/>
  <c r="J15" i="7"/>
  <c r="M15" i="7"/>
  <c r="D15" i="7"/>
  <c r="N15" i="7"/>
  <c r="AD15" i="7"/>
  <c r="V15" i="7"/>
  <c r="C15" i="7"/>
  <c r="G15" i="7"/>
  <c r="Q15" i="7"/>
  <c r="Z15" i="7"/>
  <c r="Y15" i="7"/>
  <c r="E15" i="7"/>
  <c r="AF15" i="7"/>
  <c r="X15" i="7"/>
  <c r="S15" i="7"/>
  <c r="F15" i="7"/>
  <c r="W15" i="7"/>
  <c r="H15" i="7"/>
  <c r="AA24" i="7"/>
  <c r="B36" i="7"/>
  <c r="G24" i="7"/>
  <c r="Y24" i="7"/>
  <c r="I24" i="7"/>
  <c r="P24" i="7"/>
  <c r="AD24" i="7"/>
  <c r="AB24" i="7"/>
  <c r="F24" i="7"/>
  <c r="H24" i="7"/>
  <c r="T24" i="7"/>
  <c r="Z24" i="7"/>
  <c r="Q24" i="7"/>
  <c r="C24" i="7"/>
  <c r="N24" i="7"/>
  <c r="O24" i="7"/>
  <c r="X24" i="7"/>
  <c r="S24" i="7"/>
  <c r="E24" i="7"/>
  <c r="V24" i="7"/>
  <c r="W24" i="7"/>
  <c r="M24" i="7"/>
  <c r="AC24" i="7"/>
  <c r="D24" i="7"/>
  <c r="L24" i="7"/>
  <c r="AE24" i="7"/>
  <c r="U24" i="7"/>
  <c r="R24" i="7"/>
  <c r="J24" i="7"/>
  <c r="K24" i="7"/>
  <c r="D23" i="7"/>
  <c r="D22" i="7" s="1"/>
  <c r="G23" i="7"/>
  <c r="G22" i="7" s="1"/>
  <c r="X23" i="7"/>
  <c r="X22" i="7" s="1"/>
  <c r="E23" i="7"/>
  <c r="E22" i="7" s="1"/>
  <c r="U23" i="7"/>
  <c r="U22" i="7" s="1"/>
  <c r="T23" i="7"/>
  <c r="T22" i="7" s="1"/>
  <c r="Z23" i="7"/>
  <c r="Z22" i="7" s="1"/>
  <c r="AC23" i="7"/>
  <c r="AC22" i="7" s="1"/>
  <c r="AD23" i="7"/>
  <c r="AD22" i="7" s="1"/>
  <c r="O23" i="7"/>
  <c r="O22" i="7" s="1"/>
  <c r="P23" i="7"/>
  <c r="P22" i="7" s="1"/>
  <c r="H23" i="7"/>
  <c r="H22" i="7" s="1"/>
  <c r="N23" i="7"/>
  <c r="N22" i="7" s="1"/>
  <c r="L23" i="7"/>
  <c r="L22" i="7" s="1"/>
  <c r="C23" i="7"/>
  <c r="C22" i="7" s="1"/>
  <c r="AE23" i="7"/>
  <c r="AE22" i="7" s="1"/>
  <c r="K23" i="7"/>
  <c r="K22" i="7" s="1"/>
  <c r="AB23" i="7"/>
  <c r="AB22" i="7" s="1"/>
  <c r="S23" i="7"/>
  <c r="S22" i="7" s="1"/>
  <c r="M23" i="7"/>
  <c r="M22" i="7" s="1"/>
  <c r="AA23" i="7"/>
  <c r="AA22" i="7" s="1"/>
  <c r="Q23" i="7"/>
  <c r="Q22" i="7" s="1"/>
  <c r="B23" i="7"/>
  <c r="B22" i="7" s="1"/>
  <c r="B12" i="7"/>
  <c r="B24" i="7"/>
  <c r="B11" i="7"/>
  <c r="B10" i="7"/>
  <c r="F46" i="7" l="1"/>
  <c r="F40" i="7"/>
  <c r="F52" i="7"/>
  <c r="E54" i="7"/>
  <c r="F47" i="7"/>
  <c r="E48" i="7"/>
  <c r="F51" i="7"/>
  <c r="E40" i="7"/>
  <c r="F53" i="7"/>
  <c r="F54" i="7"/>
  <c r="F48" i="7"/>
  <c r="F50" i="7"/>
  <c r="F42" i="7"/>
  <c r="F43" i="7"/>
  <c r="F44" i="7"/>
  <c r="F49" i="7"/>
  <c r="E51" i="7"/>
  <c r="F41" i="7"/>
  <c r="F45" i="7"/>
  <c r="E45" i="7"/>
  <c r="E43" i="7"/>
  <c r="E53" i="7"/>
  <c r="E49" i="7"/>
  <c r="E46" i="7"/>
  <c r="E42" i="7"/>
  <c r="E41" i="7"/>
  <c r="E44" i="7"/>
  <c r="E50" i="7"/>
  <c r="E47" i="7"/>
  <c r="E52" i="7"/>
  <c r="F39" i="7"/>
  <c r="E39" i="7"/>
  <c r="D40" i="7"/>
  <c r="D41" i="7"/>
  <c r="D42" i="7"/>
  <c r="D43" i="7"/>
  <c r="D44" i="7"/>
  <c r="D45" i="7"/>
  <c r="D47" i="7"/>
  <c r="D50" i="7"/>
  <c r="D51" i="7"/>
  <c r="D52" i="7"/>
  <c r="D53" i="7"/>
  <c r="D46" i="7"/>
  <c r="D48" i="7"/>
  <c r="D54" i="7"/>
  <c r="D49" i="7"/>
  <c r="G40" i="7"/>
  <c r="G44" i="7"/>
  <c r="G42" i="7"/>
  <c r="G53" i="7"/>
  <c r="G45" i="7"/>
  <c r="G41" i="7"/>
  <c r="G52" i="7"/>
  <c r="G46" i="7"/>
  <c r="G48" i="7"/>
  <c r="G49" i="7"/>
  <c r="G47" i="7"/>
  <c r="G50" i="7"/>
  <c r="G51" i="7"/>
  <c r="G43" i="7"/>
  <c r="G54" i="7"/>
  <c r="G39" i="7"/>
  <c r="B28" i="7"/>
  <c r="H28" i="7"/>
  <c r="I28" i="7"/>
  <c r="O28" i="7"/>
  <c r="P28" i="7"/>
  <c r="Q28" i="7"/>
  <c r="R28" i="7"/>
  <c r="N28" i="7"/>
  <c r="W28" i="7"/>
  <c r="X28" i="7"/>
  <c r="D28" i="7"/>
  <c r="C28" i="7"/>
  <c r="K28" i="7"/>
  <c r="Y28" i="7"/>
  <c r="U28" i="7"/>
  <c r="L28" i="7"/>
  <c r="M28" i="7"/>
  <c r="S28" i="7"/>
  <c r="E28" i="7"/>
  <c r="G28" i="7"/>
  <c r="J28" i="7"/>
  <c r="T28" i="7"/>
  <c r="V28" i="7"/>
  <c r="F28" i="7"/>
  <c r="Z28" i="7"/>
  <c r="B27" i="7"/>
  <c r="S27" i="7"/>
  <c r="K27" i="7"/>
  <c r="I27" i="7"/>
  <c r="O27" i="7"/>
  <c r="M27" i="7"/>
  <c r="P27" i="7"/>
  <c r="Q27" i="7"/>
  <c r="H27" i="7"/>
  <c r="R27" i="7"/>
  <c r="N27" i="7"/>
  <c r="C27" i="7"/>
  <c r="T27" i="7"/>
  <c r="Y27" i="7"/>
  <c r="V27" i="7"/>
  <c r="W27" i="7"/>
  <c r="U27" i="7"/>
  <c r="X27" i="7"/>
  <c r="F27" i="7"/>
  <c r="E27" i="7"/>
  <c r="L27" i="7"/>
  <c r="D27" i="7"/>
  <c r="G27" i="7"/>
  <c r="Z27" i="7"/>
  <c r="J27" i="7"/>
  <c r="C40" i="7"/>
  <c r="C41" i="7"/>
  <c r="C45" i="7"/>
  <c r="C48" i="7"/>
  <c r="C49" i="7"/>
  <c r="C52" i="7"/>
  <c r="C54" i="7"/>
  <c r="C42" i="7"/>
  <c r="C43" i="7"/>
  <c r="C46" i="7"/>
  <c r="C47" i="7"/>
  <c r="C50" i="7"/>
  <c r="C53" i="7"/>
  <c r="C44" i="7"/>
  <c r="C51" i="7"/>
  <c r="D39" i="7"/>
  <c r="C39" i="7"/>
  <c r="B15" i="7"/>
</calcChain>
</file>

<file path=xl/sharedStrings.xml><?xml version="1.0" encoding="utf-8"?>
<sst xmlns="http://schemas.openxmlformats.org/spreadsheetml/2006/main" count="10550" uniqueCount="9728">
  <si>
    <t>Absence types</t>
  </si>
  <si>
    <t>id</t>
  </si>
  <si>
    <t>name</t>
  </si>
  <si>
    <t>code</t>
  </si>
  <si>
    <t>description</t>
  </si>
  <si>
    <t>iconRef</t>
  </si>
  <si>
    <t>color</t>
  </si>
  <si>
    <t>availabilityPercentage</t>
  </si>
  <si>
    <t>presencePercentage</t>
  </si>
  <si>
    <t>category</t>
  </si>
  <si>
    <t>{jsdata.absenceTypes[0].id}</t>
  </si>
  <si>
    <t>{jsdata.absenceTypes[0].name}</t>
  </si>
  <si>
    <t>{jsdata.absenceTypes[0].code}</t>
  </si>
  <si>
    <t>{jsdata.absenceTypes[0].description}</t>
  </si>
  <si>
    <t>{jsdata.absenceTypes[0].iconRef}</t>
  </si>
  <si>
    <t>{jsdata.absenceTypes[0].color}</t>
  </si>
  <si>
    <t>{jsdata.absenceTypes[0].availabilityPercentage}</t>
  </si>
  <si>
    <t>{jsdata.absenceTypes[0].presencePercentage}</t>
  </si>
  <si>
    <t>{jsdata.absenceTypes[0].category}</t>
  </si>
  <si>
    <t>{jsdata.absenceTypes[1].id}</t>
  </si>
  <si>
    <t>{jsdata.absenceTypes[1].name}</t>
  </si>
  <si>
    <t>{jsdata.absenceTypes[1].code}</t>
  </si>
  <si>
    <t>{jsdata.absenceTypes[1].description}</t>
  </si>
  <si>
    <t>{jsdata.absenceTypes[1].iconRef}</t>
  </si>
  <si>
    <t>{jsdata.absenceTypes[1].color}</t>
  </si>
  <si>
    <t>{jsdata.absenceTypes[1].availabilityPercentage}</t>
  </si>
  <si>
    <t>{jsdata.absenceTypes[1].presencePercentage}</t>
  </si>
  <si>
    <t>{jsdata.absenceTypes[1].category}</t>
  </si>
  <si>
    <t>{jsdata.absenceTypes[2].id}</t>
  </si>
  <si>
    <t>{jsdata.absenceTypes[2].name}</t>
  </si>
  <si>
    <t>{jsdata.absenceTypes[2].code}</t>
  </si>
  <si>
    <t>{jsdata.absenceTypes[2].description}</t>
  </si>
  <si>
    <t>{jsdata.absenceTypes[2].iconRef}</t>
  </si>
  <si>
    <t>{jsdata.absenceTypes[2].color}</t>
  </si>
  <si>
    <t>{jsdata.absenceTypes[2].availabilityPercentage}</t>
  </si>
  <si>
    <t>{jsdata.absenceTypes[2].presencePercentage}</t>
  </si>
  <si>
    <t>{jsdata.absenceTypes[2].category}</t>
  </si>
  <si>
    <t>{jsdata.absenceTypes[3].id}</t>
  </si>
  <si>
    <t>{jsdata.absenceTypes[3].name}</t>
  </si>
  <si>
    <t>{jsdata.absenceTypes[3].code}</t>
  </si>
  <si>
    <t>{jsdata.absenceTypes[3].description}</t>
  </si>
  <si>
    <t>{jsdata.absenceTypes[3].iconRef}</t>
  </si>
  <si>
    <t>{jsdata.absenceTypes[3].color}</t>
  </si>
  <si>
    <t>{jsdata.absenceTypes[3].availabilityPercentage}</t>
  </si>
  <si>
    <t>{jsdata.absenceTypes[3].presencePercentage}</t>
  </si>
  <si>
    <t>{jsdata.absenceTypes[3].category}</t>
  </si>
  <si>
    <t>{jsdata.absenceTypes[4].id}</t>
  </si>
  <si>
    <t>{jsdata.absenceTypes[4].name}</t>
  </si>
  <si>
    <t>{jsdata.absenceTypes[4].code}</t>
  </si>
  <si>
    <t>{jsdata.absenceTypes[4].description}</t>
  </si>
  <si>
    <t>{jsdata.absenceTypes[4].iconRef}</t>
  </si>
  <si>
    <t>{jsdata.absenceTypes[4].color}</t>
  </si>
  <si>
    <t>{jsdata.absenceTypes[4].availabilityPercentage}</t>
  </si>
  <si>
    <t>{jsdata.absenceTypes[4].presencePercentage}</t>
  </si>
  <si>
    <t>{jsdata.absenceTypes[4].category}</t>
  </si>
  <si>
    <t>{jsdata.absenceTypes[5].id}</t>
  </si>
  <si>
    <t>{jsdata.absenceTypes[5].name}</t>
  </si>
  <si>
    <t>{jsdata.absenceTypes[5].code}</t>
  </si>
  <si>
    <t>{jsdata.absenceTypes[5].description}</t>
  </si>
  <si>
    <t>{jsdata.absenceTypes[5].iconRef}</t>
  </si>
  <si>
    <t>{jsdata.absenceTypes[5].color}</t>
  </si>
  <si>
    <t>{jsdata.absenceTypes[5].availabilityPercentage}</t>
  </si>
  <si>
    <t>{jsdata.absenceTypes[5].presencePercentage}</t>
  </si>
  <si>
    <t>{jsdata.absenceTypes[5].category}</t>
  </si>
  <si>
    <t>{jsdata.absenceTypes[6].id}</t>
  </si>
  <si>
    <t>{jsdata.absenceTypes[6].name}</t>
  </si>
  <si>
    <t>{jsdata.absenceTypes[6].code}</t>
  </si>
  <si>
    <t>{jsdata.absenceTypes[6].description}</t>
  </si>
  <si>
    <t>{jsdata.absenceTypes[6].iconRef}</t>
  </si>
  <si>
    <t>{jsdata.absenceTypes[6].color}</t>
  </si>
  <si>
    <t>{jsdata.absenceTypes[6].availabilityPercentage}</t>
  </si>
  <si>
    <t>{jsdata.absenceTypes[6].presencePercentage}</t>
  </si>
  <si>
    <t>{jsdata.absenceTypes[6].category}</t>
  </si>
  <si>
    <t>{jsdata.absenceTypes[7].id}</t>
  </si>
  <si>
    <t>{jsdata.absenceTypes[7].name}</t>
  </si>
  <si>
    <t>{jsdata.absenceTypes[7].code}</t>
  </si>
  <si>
    <t>{jsdata.absenceTypes[7].description}</t>
  </si>
  <si>
    <t>{jsdata.absenceTypes[7].iconRef}</t>
  </si>
  <si>
    <t>{jsdata.absenceTypes[7].color}</t>
  </si>
  <si>
    <t>{jsdata.absenceTypes[7].availabilityPercentage}</t>
  </si>
  <si>
    <t>{jsdata.absenceTypes[7].presencePercentage}</t>
  </si>
  <si>
    <t>{jsdata.absenceTypes[7].category}</t>
  </si>
  <si>
    <t>{jsdata.absenceTypes[8].id}</t>
  </si>
  <si>
    <t>{jsdata.absenceTypes[8].name}</t>
  </si>
  <si>
    <t>{jsdata.absenceTypes[8].code}</t>
  </si>
  <si>
    <t>{jsdata.absenceTypes[8].description}</t>
  </si>
  <si>
    <t>{jsdata.absenceTypes[8].iconRef}</t>
  </si>
  <si>
    <t>{jsdata.absenceTypes[8].color}</t>
  </si>
  <si>
    <t>{jsdata.absenceTypes[8].availabilityPercentage}</t>
  </si>
  <si>
    <t>{jsdata.absenceTypes[8].presencePercentage}</t>
  </si>
  <si>
    <t>{jsdata.absenceTypes[8].category}</t>
  </si>
  <si>
    <t>{jsdata.absenceTypes[9].id}</t>
  </si>
  <si>
    <t>{jsdata.absenceTypes[9].name}</t>
  </si>
  <si>
    <t>{jsdata.absenceTypes[9].code}</t>
  </si>
  <si>
    <t>{jsdata.absenceTypes[9].description}</t>
  </si>
  <si>
    <t>{jsdata.absenceTypes[9].iconRef}</t>
  </si>
  <si>
    <t>{jsdata.absenceTypes[9].color}</t>
  </si>
  <si>
    <t>{jsdata.absenceTypes[9].availabilityPercentage}</t>
  </si>
  <si>
    <t>{jsdata.absenceTypes[9].presencePercentage}</t>
  </si>
  <si>
    <t>{jsdata.absenceTypes[9].category}</t>
  </si>
  <si>
    <t>{jsdata.absenceTypes[10].id}</t>
  </si>
  <si>
    <t>{jsdata.absenceTypes[10].name}</t>
  </si>
  <si>
    <t>{jsdata.absenceTypes[10].code}</t>
  </si>
  <si>
    <t>{jsdata.absenceTypes[10].description}</t>
  </si>
  <si>
    <t>{jsdata.absenceTypes[10].iconRef}</t>
  </si>
  <si>
    <t>{jsdata.absenceTypes[10].color}</t>
  </si>
  <si>
    <t>{jsdata.absenceTypes[10].availabilityPercentage}</t>
  </si>
  <si>
    <t>{jsdata.absenceTypes[10].presencePercentage}</t>
  </si>
  <si>
    <t>{jsdata.absenceTypes[10].category}</t>
  </si>
  <si>
    <t>{jsdata.absenceTypes[11].id}</t>
  </si>
  <si>
    <t>{jsdata.absenceTypes[11].name}</t>
  </si>
  <si>
    <t>{jsdata.absenceTypes[11].code}</t>
  </si>
  <si>
    <t>{jsdata.absenceTypes[11].description}</t>
  </si>
  <si>
    <t>{jsdata.absenceTypes[11].iconRef}</t>
  </si>
  <si>
    <t>{jsdata.absenceTypes[11].color}</t>
  </si>
  <si>
    <t>{jsdata.absenceTypes[11].availabilityPercentage}</t>
  </si>
  <si>
    <t>{jsdata.absenceTypes[11].presencePercentage}</t>
  </si>
  <si>
    <t>{jsdata.absenceTypes[11].category}</t>
  </si>
  <si>
    <t>{jsdata.absenceTypes[12].id}</t>
  </si>
  <si>
    <t>{jsdata.absenceTypes[12].name}</t>
  </si>
  <si>
    <t>{jsdata.absenceTypes[12].code}</t>
  </si>
  <si>
    <t>{jsdata.absenceTypes[12].description}</t>
  </si>
  <si>
    <t>{jsdata.absenceTypes[12].iconRef}</t>
  </si>
  <si>
    <t>{jsdata.absenceTypes[12].color}</t>
  </si>
  <si>
    <t>{jsdata.absenceTypes[12].availabilityPercentage}</t>
  </si>
  <si>
    <t>{jsdata.absenceTypes[12].presencePercentage}</t>
  </si>
  <si>
    <t>{jsdata.absenceTypes[12].category}</t>
  </si>
  <si>
    <t>{jsdata.absenceTypes[13].id}</t>
  </si>
  <si>
    <t>{jsdata.absenceTypes[13].name}</t>
  </si>
  <si>
    <t>{jsdata.absenceTypes[13].code}</t>
  </si>
  <si>
    <t>{jsdata.absenceTypes[13].description}</t>
  </si>
  <si>
    <t>{jsdata.absenceTypes[13].iconRef}</t>
  </si>
  <si>
    <t>{jsdata.absenceTypes[13].color}</t>
  </si>
  <si>
    <t>{jsdata.absenceTypes[13].availabilityPercentage}</t>
  </si>
  <si>
    <t>{jsdata.absenceTypes[13].presencePercentage}</t>
  </si>
  <si>
    <t>{jsdata.absenceTypes[13].category}</t>
  </si>
  <si>
    <t>{jsdata.absenceTypes[14].id}</t>
  </si>
  <si>
    <t>{jsdata.absenceTypes[14].name}</t>
  </si>
  <si>
    <t>{jsdata.absenceTypes[14].code}</t>
  </si>
  <si>
    <t>{jsdata.absenceTypes[14].description}</t>
  </si>
  <si>
    <t>{jsdata.absenceTypes[14].iconRef}</t>
  </si>
  <si>
    <t>{jsdata.absenceTypes[14].color}</t>
  </si>
  <si>
    <t>{jsdata.absenceTypes[14].availabilityPercentage}</t>
  </si>
  <si>
    <t>{jsdata.absenceTypes[14].presencePercentage}</t>
  </si>
  <si>
    <t>{jsdata.absenceTypes[14].category}</t>
  </si>
  <si>
    <t>{jsdata.absenceTypes[15].id}</t>
  </si>
  <si>
    <t>{jsdata.absenceTypes[15].name}</t>
  </si>
  <si>
    <t>{jsdata.absenceTypes[15].code}</t>
  </si>
  <si>
    <t>{jsdata.absenceTypes[15].description}</t>
  </si>
  <si>
    <t>{jsdata.absenceTypes[15].iconRef}</t>
  </si>
  <si>
    <t>{jsdata.absenceTypes[15].color}</t>
  </si>
  <si>
    <t>{jsdata.absenceTypes[15].availabilityPercentage}</t>
  </si>
  <si>
    <t>{jsdata.absenceTypes[15].presencePercentage}</t>
  </si>
  <si>
    <t>{jsdata.absenceTypes[15].category}</t>
  </si>
  <si>
    <t>{jsdata.absenceTypes[16].id}</t>
  </si>
  <si>
    <t>{jsdata.absenceTypes[16].name}</t>
  </si>
  <si>
    <t>{jsdata.absenceTypes[16].code}</t>
  </si>
  <si>
    <t>{jsdata.absenceTypes[16].description}</t>
  </si>
  <si>
    <t>{jsdata.absenceTypes[16].iconRef}</t>
  </si>
  <si>
    <t>{jsdata.absenceTypes[16].color}</t>
  </si>
  <si>
    <t>{jsdata.absenceTypes[16].availabilityPercentage}</t>
  </si>
  <si>
    <t>{jsdata.absenceTypes[16].presencePercentage}</t>
  </si>
  <si>
    <t>{jsdata.absenceTypes[16].category}</t>
  </si>
  <si>
    <t>{jsdata.absenceTypes[17].id}</t>
  </si>
  <si>
    <t>{jsdata.absenceTypes[17].name}</t>
  </si>
  <si>
    <t>{jsdata.absenceTypes[17].code}</t>
  </si>
  <si>
    <t>{jsdata.absenceTypes[17].description}</t>
  </si>
  <si>
    <t>{jsdata.absenceTypes[17].iconRef}</t>
  </si>
  <si>
    <t>{jsdata.absenceTypes[17].color}</t>
  </si>
  <si>
    <t>{jsdata.absenceTypes[17].availabilityPercentage}</t>
  </si>
  <si>
    <t>{jsdata.absenceTypes[17].presencePercentage}</t>
  </si>
  <si>
    <t>{jsdata.absenceTypes[17].category}</t>
  </si>
  <si>
    <t>{jsdata.absenceTypes[18].id}</t>
  </si>
  <si>
    <t>{jsdata.absenceTypes[18].name}</t>
  </si>
  <si>
    <t>{jsdata.absenceTypes[18].code}</t>
  </si>
  <si>
    <t>{jsdata.absenceTypes[18].description}</t>
  </si>
  <si>
    <t>{jsdata.absenceTypes[18].iconRef}</t>
  </si>
  <si>
    <t>{jsdata.absenceTypes[18].color}</t>
  </si>
  <si>
    <t>{jsdata.absenceTypes[18].availabilityPercentage}</t>
  </si>
  <si>
    <t>{jsdata.absenceTypes[18].presencePercentage}</t>
  </si>
  <si>
    <t>{jsdata.absenceTypes[18].category}</t>
  </si>
  <si>
    <t>{jsdata.absenceTypes[19].id}</t>
  </si>
  <si>
    <t>{jsdata.absenceTypes[19].name}</t>
  </si>
  <si>
    <t>{jsdata.absenceTypes[19].code}</t>
  </si>
  <si>
    <t>{jsdata.absenceTypes[19].description}</t>
  </si>
  <si>
    <t>{jsdata.absenceTypes[19].iconRef}</t>
  </si>
  <si>
    <t>{jsdata.absenceTypes[19].color}</t>
  </si>
  <si>
    <t>{jsdata.absenceTypes[19].availabilityPercentage}</t>
  </si>
  <si>
    <t>{jsdata.absenceTypes[19].presencePercentage}</t>
  </si>
  <si>
    <t>{jsdata.absenceTypes[19].category}</t>
  </si>
  <si>
    <t>Saldi</t>
  </si>
  <si>
    <t>year</t>
  </si>
  <si>
    <t>type</t>
  </si>
  <si>
    <t>key</t>
  </si>
  <si>
    <t>durationS</t>
  </si>
  <si>
    <t>date</t>
  </si>
  <si>
    <t>comment</t>
  </si>
  <si>
    <t>{jsdata.corrections[0].type}</t>
  </si>
  <si>
    <t>{jsdata.corrections[0].duration}</t>
  </si>
  <si>
    <t>{jsdata.corrections[0].comment}</t>
  </si>
  <si>
    <t>{jsdata.corrections[1].type}</t>
  </si>
  <si>
    <t>{jsdata.corrections[1].duration}</t>
  </si>
  <si>
    <t>{jsdata.corrections[1].comment}</t>
  </si>
  <si>
    <t>{jsdata.corrections[2].type}</t>
  </si>
  <si>
    <t>{jsdata.corrections[2].duration}</t>
  </si>
  <si>
    <t>{jsdata.corrections[2].comment}</t>
  </si>
  <si>
    <t>{jsdata.corrections[3].type}</t>
  </si>
  <si>
    <t>{jsdata.corrections[3].duration}</t>
  </si>
  <si>
    <t>{jsdata.corrections[3].comment}</t>
  </si>
  <si>
    <t>{jsdata.corrections[4].type}</t>
  </si>
  <si>
    <t>{jsdata.corrections[4].duration}</t>
  </si>
  <si>
    <t>{jsdata.corrections[4].comment}</t>
  </si>
  <si>
    <t>{jsdata.corrections[5].type}</t>
  </si>
  <si>
    <t>{jsdata.corrections[5].duration}</t>
  </si>
  <si>
    <t>{jsdata.corrections[5].comment}</t>
  </si>
  <si>
    <t>{jsdata.corrections[6].type}</t>
  </si>
  <si>
    <t>{jsdata.corrections[6].duration}</t>
  </si>
  <si>
    <t>{jsdata.corrections[6].comment}</t>
  </si>
  <si>
    <t>{jsdata.corrections[7].type}</t>
  </si>
  <si>
    <t>{jsdata.corrections[7].duration}</t>
  </si>
  <si>
    <t>{jsdata.corrections[7].comment}</t>
  </si>
  <si>
    <t>{jsdata.corrections[8].type}</t>
  </si>
  <si>
    <t>{jsdata.corrections[8].duration}</t>
  </si>
  <si>
    <t>{jsdata.corrections[8].comment}</t>
  </si>
  <si>
    <t>{jsdata.corrections[9].type}</t>
  </si>
  <si>
    <t>{jsdata.corrections[9].duration}</t>
  </si>
  <si>
    <t>{jsdata.corrections[9].comment}</t>
  </si>
  <si>
    <t>{jsdata.corrections[10].type}</t>
  </si>
  <si>
    <t>{jsdata.corrections[10].duration}</t>
  </si>
  <si>
    <t>{jsdata.corrections[10].comment}</t>
  </si>
  <si>
    <t>{jsdata.corrections[11].type}</t>
  </si>
  <si>
    <t>{jsdata.corrections[11].duration}</t>
  </si>
  <si>
    <t>{jsdata.corrections[11].comment}</t>
  </si>
  <si>
    <t>{jsdata.corrections[12].type}</t>
  </si>
  <si>
    <t>{jsdata.corrections[12].duration}</t>
  </si>
  <si>
    <t>{jsdata.corrections[12].comment}</t>
  </si>
  <si>
    <t>{jsdata.corrections[13].type}</t>
  </si>
  <si>
    <t>{jsdata.corrections[13].duration}</t>
  </si>
  <si>
    <t>{jsdata.corrections[13].comment}</t>
  </si>
  <si>
    <t>{jsdata.corrections[14].type}</t>
  </si>
  <si>
    <t>{jsdata.corrections[14].duration}</t>
  </si>
  <si>
    <t>{jsdata.corrections[14].comment}</t>
  </si>
  <si>
    <t>{jsdata.corrections[15].type}</t>
  </si>
  <si>
    <t>{jsdata.corrections[15].duration}</t>
  </si>
  <si>
    <t>{jsdata.corrections[15].comment}</t>
  </si>
  <si>
    <t>{jsdata.corrections[16].type}</t>
  </si>
  <si>
    <t>{jsdata.corrections[16].duration}</t>
  </si>
  <si>
    <t>{jsdata.corrections[16].comment}</t>
  </si>
  <si>
    <t>{jsdata.corrections[17].type}</t>
  </si>
  <si>
    <t>{jsdata.corrections[17].duration}</t>
  </si>
  <si>
    <t>{jsdata.corrections[17].comment}</t>
  </si>
  <si>
    <t>{jsdata.corrections[18].type}</t>
  </si>
  <si>
    <t>{jsdata.corrections[18].duration}</t>
  </si>
  <si>
    <t>{jsdata.corrections[18].comment}</t>
  </si>
  <si>
    <t>{jsdata.corrections[19].type}</t>
  </si>
  <si>
    <t>{jsdata.corrections[19].duration}</t>
  </si>
  <si>
    <t>{jsdata.corrections[19].comment}</t>
  </si>
  <si>
    <t>{jsdata.corrections[20].type}</t>
  </si>
  <si>
    <t>{jsdata.corrections[20].duration}</t>
  </si>
  <si>
    <t>{jsdata.corrections[20].comment}</t>
  </si>
  <si>
    <t>{jsdata.corrections[21].type}</t>
  </si>
  <si>
    <t>{jsdata.corrections[21].duration}</t>
  </si>
  <si>
    <t>{jsdata.corrections[21].comment}</t>
  </si>
  <si>
    <t>{jsdata.corrections[22].type}</t>
  </si>
  <si>
    <t>{jsdata.corrections[22].duration}</t>
  </si>
  <si>
    <t>{jsdata.corrections[22].comment}</t>
  </si>
  <si>
    <t>{jsdata.corrections[23].type}</t>
  </si>
  <si>
    <t>{jsdata.corrections[23].duration}</t>
  </si>
  <si>
    <t>{jsdata.corrections[23].comment}</t>
  </si>
  <si>
    <t>{jsdata.corrections[24].type}</t>
  </si>
  <si>
    <t>{jsdata.corrections[24].duration}</t>
  </si>
  <si>
    <t>{jsdata.corrections[24].comment}</t>
  </si>
  <si>
    <t>{jsdata.corrections[25].type}</t>
  </si>
  <si>
    <t>{jsdata.corrections[25].duration}</t>
  </si>
  <si>
    <t>{jsdata.corrections[25].comment}</t>
  </si>
  <si>
    <t>{jsdata.corrections[26].type}</t>
  </si>
  <si>
    <t>{jsdata.corrections[26].duration}</t>
  </si>
  <si>
    <t>{jsdata.corrections[26].comment}</t>
  </si>
  <si>
    <t>{jsdata.corrections[27].type}</t>
  </si>
  <si>
    <t>{jsdata.corrections[27].duration}</t>
  </si>
  <si>
    <t>{jsdata.corrections[27].comment}</t>
  </si>
  <si>
    <t>{jsdata.corrections[28].type}</t>
  </si>
  <si>
    <t>{jsdata.corrections[28].duration}</t>
  </si>
  <si>
    <t>{jsdata.corrections[28].comment}</t>
  </si>
  <si>
    <t>{jsdata.corrections[29].type}</t>
  </si>
  <si>
    <t>{jsdata.corrections[29].duration}</t>
  </si>
  <si>
    <t>{jsdata.corrections[29].comment}</t>
  </si>
  <si>
    <t>{jsdata.corrections[30].type}</t>
  </si>
  <si>
    <t>{jsdata.corrections[30].duration}</t>
  </si>
  <si>
    <t>{jsdata.corrections[30].comment}</t>
  </si>
  <si>
    <t>{jsdata.corrections[31].type}</t>
  </si>
  <si>
    <t>{jsdata.corrections[31].duration}</t>
  </si>
  <si>
    <t>{jsdata.corrections[31].comment}</t>
  </si>
  <si>
    <t>{jsdata.corrections[32].type}</t>
  </si>
  <si>
    <t>{jsdata.corrections[32].duration}</t>
  </si>
  <si>
    <t>{jsdata.corrections[32].comment}</t>
  </si>
  <si>
    <t>{jsdata.corrections[33].type}</t>
  </si>
  <si>
    <t>{jsdata.corrections[33].duration}</t>
  </si>
  <si>
    <t>{jsdata.corrections[33].comment}</t>
  </si>
  <si>
    <t>{jsdata.corrections[34].type}</t>
  </si>
  <si>
    <t>{jsdata.corrections[34].duration}</t>
  </si>
  <si>
    <t>{jsdata.corrections[34].comment}</t>
  </si>
  <si>
    <t>{jsdata.corrections[35].type}</t>
  </si>
  <si>
    <t>{jsdata.corrections[35].duration}</t>
  </si>
  <si>
    <t>{jsdata.corrections[35].comment}</t>
  </si>
  <si>
    <t>{jsdata.corrections[36].type}</t>
  </si>
  <si>
    <t>{jsdata.corrections[36].duration}</t>
  </si>
  <si>
    <t>{jsdata.corrections[36].comment}</t>
  </si>
  <si>
    <t>{jsdata.corrections[37].type}</t>
  </si>
  <si>
    <t>{jsdata.corrections[37].duration}</t>
  </si>
  <si>
    <t>{jsdata.corrections[37].comment}</t>
  </si>
  <si>
    <t>{jsdata.corrections[38].type}</t>
  </si>
  <si>
    <t>{jsdata.corrections[38].duration}</t>
  </si>
  <si>
    <t>{jsdata.corrections[38].comment}</t>
  </si>
  <si>
    <t>{jsdata.corrections[39].type}</t>
  </si>
  <si>
    <t>{jsdata.corrections[39].duration}</t>
  </si>
  <si>
    <t>{jsdata.corrections[39].comment}</t>
  </si>
  <si>
    <t>{jsdata.corrections[40].type}</t>
  </si>
  <si>
    <t>{jsdata.corrections[40].duration}</t>
  </si>
  <si>
    <t>{jsdata.corrections[40].comment}</t>
  </si>
  <si>
    <t>{jsdata.corrections[41].type}</t>
  </si>
  <si>
    <t>{jsdata.corrections[41].duration}</t>
  </si>
  <si>
    <t>{jsdata.corrections[41].comment}</t>
  </si>
  <si>
    <t>{jsdata.corrections[42].type}</t>
  </si>
  <si>
    <t>{jsdata.corrections[42].duration}</t>
  </si>
  <si>
    <t>{jsdata.corrections[42].comment}</t>
  </si>
  <si>
    <t>{jsdata.corrections[43].type}</t>
  </si>
  <si>
    <t>{jsdata.corrections[43].duration}</t>
  </si>
  <si>
    <t>{jsdata.corrections[43].comment}</t>
  </si>
  <si>
    <t>{jsdata.corrections[44].type}</t>
  </si>
  <si>
    <t>{jsdata.corrections[44].duration}</t>
  </si>
  <si>
    <t>{jsdata.corrections[44].comment}</t>
  </si>
  <si>
    <t>{jsdata.corrections[45].type}</t>
  </si>
  <si>
    <t>{jsdata.corrections[45].duration}</t>
  </si>
  <si>
    <t>{jsdata.corrections[45].comment}</t>
  </si>
  <si>
    <t>{jsdata.corrections[46].type}</t>
  </si>
  <si>
    <t>{jsdata.corrections[46].duration}</t>
  </si>
  <si>
    <t>{jsdata.corrections[46].comment}</t>
  </si>
  <si>
    <t>{jsdata.corrections[47].type}</t>
  </si>
  <si>
    <t>{jsdata.corrections[47].duration}</t>
  </si>
  <si>
    <t>{jsdata.corrections[47].comment}</t>
  </si>
  <si>
    <t>{jsdata.corrections[48].type}</t>
  </si>
  <si>
    <t>{jsdata.corrections[48].duration}</t>
  </si>
  <si>
    <t>{jsdata.corrections[48].comment}</t>
  </si>
  <si>
    <t>{jsdata.corrections[49].type}</t>
  </si>
  <si>
    <t>{jsdata.corrections[49].duration}</t>
  </si>
  <si>
    <t>{jsdata.corrections[49].comment}</t>
  </si>
  <si>
    <t>{jsdata.corrections[50].type}</t>
  </si>
  <si>
    <t>{jsdata.corrections[50].duration}</t>
  </si>
  <si>
    <t>{jsdata.corrections[50].comment}</t>
  </si>
  <si>
    <t>{jsdata.corrections[51].type}</t>
  </si>
  <si>
    <t>{jsdata.corrections[51].duration}</t>
  </si>
  <si>
    <t>{jsdata.corrections[51].comment}</t>
  </si>
  <si>
    <t>{jsdata.corrections[52].type}</t>
  </si>
  <si>
    <t>{jsdata.corrections[52].duration}</t>
  </si>
  <si>
    <t>{jsdata.corrections[52].comment}</t>
  </si>
  <si>
    <t>{jsdata.corrections[53].type}</t>
  </si>
  <si>
    <t>{jsdata.corrections[53].duration}</t>
  </si>
  <si>
    <t>{jsdata.corrections[53].comment}</t>
  </si>
  <si>
    <t>{jsdata.corrections[54].type}</t>
  </si>
  <si>
    <t>{jsdata.corrections[54].duration}</t>
  </si>
  <si>
    <t>{jsdata.corrections[54].comment}</t>
  </si>
  <si>
    <t>{jsdata.corrections[55].type}</t>
  </si>
  <si>
    <t>{jsdata.corrections[55].duration}</t>
  </si>
  <si>
    <t>{jsdata.corrections[55].comment}</t>
  </si>
  <si>
    <t>{jsdata.corrections[56].type}</t>
  </si>
  <si>
    <t>{jsdata.corrections[56].duration}</t>
  </si>
  <si>
    <t>{jsdata.corrections[56].comment}</t>
  </si>
  <si>
    <t>{jsdata.corrections[57].type}</t>
  </si>
  <si>
    <t>{jsdata.corrections[57].duration}</t>
  </si>
  <si>
    <t>{jsdata.corrections[57].comment}</t>
  </si>
  <si>
    <t>{jsdata.corrections[58].type}</t>
  </si>
  <si>
    <t>{jsdata.corrections[58].duration}</t>
  </si>
  <si>
    <t>{jsdata.corrections[58].comment}</t>
  </si>
  <si>
    <t>{jsdata.corrections[59].type}</t>
  </si>
  <si>
    <t>{jsdata.corrections[59].duration}</t>
  </si>
  <si>
    <t>{jsdata.corrections[59].comment}</t>
  </si>
  <si>
    <t>{jsdata.corrections[60].type}</t>
  </si>
  <si>
    <t>{jsdata.corrections[60].duration}</t>
  </si>
  <si>
    <t>{jsdata.corrections[60].comment}</t>
  </si>
  <si>
    <t>{jsdata.corrections[61].type}</t>
  </si>
  <si>
    <t>{jsdata.corrections[61].duration}</t>
  </si>
  <si>
    <t>{jsdata.corrections[61].comment}</t>
  </si>
  <si>
    <t>{jsdata.corrections[62].type}</t>
  </si>
  <si>
    <t>{jsdata.corrections[62].duration}</t>
  </si>
  <si>
    <t>{jsdata.corrections[62].comment}</t>
  </si>
  <si>
    <t>{jsdata.corrections[63].type}</t>
  </si>
  <si>
    <t>{jsdata.corrections[63].duration}</t>
  </si>
  <si>
    <t>{jsdata.corrections[63].comment}</t>
  </si>
  <si>
    <t>{jsdata.corrections[64].type}</t>
  </si>
  <si>
    <t>{jsdata.corrections[64].duration}</t>
  </si>
  <si>
    <t>{jsdata.corrections[64].comment}</t>
  </si>
  <si>
    <t>Corrections</t>
  </si>
  <si>
    <t>Resource</t>
  </si>
  <si>
    <t>{jsdata.resource.id}</t>
  </si>
  <si>
    <t>{jsdata.resource.name}</t>
  </si>
  <si>
    <t>{jsdata.resource.code}</t>
  </si>
  <si>
    <t>{jsdata.resource.description}</t>
  </si>
  <si>
    <t>{jsdata.corrections[0].date}</t>
  </si>
  <si>
    <t>{jsdata.corrections[1].date}</t>
  </si>
  <si>
    <t>{jsdata.corrections[2].date}</t>
  </si>
  <si>
    <t>{jsdata.corrections[3].date}</t>
  </si>
  <si>
    <t>{jsdata.corrections[4].date}</t>
  </si>
  <si>
    <t>{jsdata.corrections[5].date}</t>
  </si>
  <si>
    <t>{jsdata.corrections[6].date}</t>
  </si>
  <si>
    <t>{jsdata.corrections[7].date}</t>
  </si>
  <si>
    <t>{jsdata.corrections[8].date}</t>
  </si>
  <si>
    <t>{jsdata.corrections[9].date}</t>
  </si>
  <si>
    <t>{jsdata.corrections[10].date}</t>
  </si>
  <si>
    <t>{jsdata.corrections[11].date}</t>
  </si>
  <si>
    <t>{jsdata.corrections[12].date}</t>
  </si>
  <si>
    <t>{jsdata.corrections[13].date}</t>
  </si>
  <si>
    <t>{jsdata.corrections[14].date}</t>
  </si>
  <si>
    <t>{jsdata.corrections[15].date}</t>
  </si>
  <si>
    <t>{jsdata.corrections[16].date}</t>
  </si>
  <si>
    <t>{jsdata.corrections[17].date}</t>
  </si>
  <si>
    <t>{jsdata.corrections[18].date}</t>
  </si>
  <si>
    <t>{jsdata.corrections[19].date}</t>
  </si>
  <si>
    <t>{jsdata.corrections[20].date}</t>
  </si>
  <si>
    <t>{jsdata.corrections[21].date}</t>
  </si>
  <si>
    <t>{jsdata.corrections[22].date}</t>
  </si>
  <si>
    <t>{jsdata.corrections[23].date}</t>
  </si>
  <si>
    <t>{jsdata.corrections[24].date}</t>
  </si>
  <si>
    <t>{jsdata.corrections[25].date}</t>
  </si>
  <si>
    <t>{jsdata.corrections[26].date}</t>
  </si>
  <si>
    <t>{jsdata.corrections[27].date}</t>
  </si>
  <si>
    <t>{jsdata.corrections[28].date}</t>
  </si>
  <si>
    <t>{jsdata.corrections[29].date}</t>
  </si>
  <si>
    <t>{jsdata.corrections[30].date}</t>
  </si>
  <si>
    <t>{jsdata.corrections[31].date}</t>
  </si>
  <si>
    <t>{jsdata.corrections[32].date}</t>
  </si>
  <si>
    <t>{jsdata.corrections[33].date}</t>
  </si>
  <si>
    <t>{jsdata.corrections[34].date}</t>
  </si>
  <si>
    <t>{jsdata.corrections[35].date}</t>
  </si>
  <si>
    <t>{jsdata.corrections[36].date}</t>
  </si>
  <si>
    <t>{jsdata.corrections[37].date}</t>
  </si>
  <si>
    <t>{jsdata.corrections[38].date}</t>
  </si>
  <si>
    <t>{jsdata.corrections[39].date}</t>
  </si>
  <si>
    <t>{jsdata.corrections[40].date}</t>
  </si>
  <si>
    <t>{jsdata.corrections[41].date}</t>
  </si>
  <si>
    <t>{jsdata.corrections[42].date}</t>
  </si>
  <si>
    <t>{jsdata.corrections[43].date}</t>
  </si>
  <si>
    <t>{jsdata.corrections[44].date}</t>
  </si>
  <si>
    <t>{jsdata.corrections[45].date}</t>
  </si>
  <si>
    <t>{jsdata.corrections[46].date}</t>
  </si>
  <si>
    <t>{jsdata.corrections[47].date}</t>
  </si>
  <si>
    <t>{jsdata.corrections[48].date}</t>
  </si>
  <si>
    <t>{jsdata.corrections[49].date}</t>
  </si>
  <si>
    <t>{jsdata.corrections[50].date}</t>
  </si>
  <si>
    <t>{jsdata.corrections[51].date}</t>
  </si>
  <si>
    <t>{jsdata.corrections[52].date}</t>
  </si>
  <si>
    <t>{jsdata.corrections[53].date}</t>
  </si>
  <si>
    <t>{jsdata.corrections[54].date}</t>
  </si>
  <si>
    <t>{jsdata.corrections[55].date}</t>
  </si>
  <si>
    <t>{jsdata.corrections[56].date}</t>
  </si>
  <si>
    <t>{jsdata.corrections[57].date}</t>
  </si>
  <si>
    <t>{jsdata.corrections[58].date}</t>
  </si>
  <si>
    <t>{jsdata.corrections[59].date}</t>
  </si>
  <si>
    <t>{jsdata.corrections[60].date}</t>
  </si>
  <si>
    <t>{jsdata.corrections[61].date}</t>
  </si>
  <si>
    <t>{jsdata.corrections[62].date}</t>
  </si>
  <si>
    <t>{jsdata.corrections[63].date}</t>
  </si>
  <si>
    <t>{jsdata.corrections[64].date}</t>
  </si>
  <si>
    <t>Export</t>
  </si>
  <si>
    <t>{jsdata.exportedBy.id}</t>
  </si>
  <si>
    <t>{jsdata.exportedBy.resource ? jsdata.exportedBy.resource.name : jsdata.exportedBy.name}</t>
  </si>
  <si>
    <t>{jsdata.exportedBy.resource ? jsdata.exportedBy.resource.code : ''}</t>
  </si>
  <si>
    <t>{jsdata.exportedAt}</t>
  </si>
  <si>
    <t>{jsdata.claim}</t>
  </si>
  <si>
    <t>at</t>
  </si>
  <si>
    <t>claim</t>
  </si>
  <si>
    <t>Days</t>
  </si>
  <si>
    <t>target</t>
  </si>
  <si>
    <t>absences</t>
  </si>
  <si>
    <t>presences</t>
  </si>
  <si>
    <t>absence1</t>
  </si>
  <si>
    <t>absence2</t>
  </si>
  <si>
    <t>{jsdata.day[0].target}</t>
  </si>
  <si>
    <t>{jsdata.day[0].sumAbsences}</t>
  </si>
  <si>
    <t>{jsdata.day[0].sumPresences}</t>
  </si>
  <si>
    <t>{jsdata.day[1].target}</t>
  </si>
  <si>
    <t>{jsdata.day[1].sumAbsences}</t>
  </si>
  <si>
    <t>{jsdata.day[1].sumPresences}</t>
  </si>
  <si>
    <t>{jsdata.day[2].target}</t>
  </si>
  <si>
    <t>{jsdata.day[2].sumAbsences}</t>
  </si>
  <si>
    <t>{jsdata.day[2].sumPresences}</t>
  </si>
  <si>
    <t>{jsdata.day[3].target}</t>
  </si>
  <si>
    <t>{jsdata.day[3].sumAbsences}</t>
  </si>
  <si>
    <t>{jsdata.day[3].sumPresences}</t>
  </si>
  <si>
    <t>{jsdata.day[4].target}</t>
  </si>
  <si>
    <t>{jsdata.day[4].sumAbsences}</t>
  </si>
  <si>
    <t>{jsdata.day[4].sumPresences}</t>
  </si>
  <si>
    <t>{jsdata.day[5].target}</t>
  </si>
  <si>
    <t>{jsdata.day[5].sumAbsences}</t>
  </si>
  <si>
    <t>{jsdata.day[5].sumPresences}</t>
  </si>
  <si>
    <t>{jsdata.day[6].target}</t>
  </si>
  <si>
    <t>{jsdata.day[6].sumAbsences}</t>
  </si>
  <si>
    <t>{jsdata.day[6].sumPresences}</t>
  </si>
  <si>
    <t>{jsdata.day[7].target}</t>
  </si>
  <si>
    <t>{jsdata.day[7].sumAbsences}</t>
  </si>
  <si>
    <t>{jsdata.day[7].sumPresences}</t>
  </si>
  <si>
    <t>{jsdata.day[8].target}</t>
  </si>
  <si>
    <t>{jsdata.day[8].sumAbsences}</t>
  </si>
  <si>
    <t>{jsdata.day[8].sumPresences}</t>
  </si>
  <si>
    <t>{jsdata.day[9].target}</t>
  </si>
  <si>
    <t>{jsdata.day[9].sumAbsences}</t>
  </si>
  <si>
    <t>{jsdata.day[9].sumPresences}</t>
  </si>
  <si>
    <t>{jsdata.day[10].target}</t>
  </si>
  <si>
    <t>{jsdata.day[10].sumAbsences}</t>
  </si>
  <si>
    <t>{jsdata.day[10].sumPresences}</t>
  </si>
  <si>
    <t>{jsdata.day[11].target}</t>
  </si>
  <si>
    <t>{jsdata.day[11].sumAbsences}</t>
  </si>
  <si>
    <t>{jsdata.day[11].sumPresences}</t>
  </si>
  <si>
    <t>{jsdata.day[12].target}</t>
  </si>
  <si>
    <t>{jsdata.day[12].sumAbsences}</t>
  </si>
  <si>
    <t>{jsdata.day[12].sumPresences}</t>
  </si>
  <si>
    <t>{jsdata.day[13].target}</t>
  </si>
  <si>
    <t>{jsdata.day[13].sumAbsences}</t>
  </si>
  <si>
    <t>{jsdata.day[13].sumPresences}</t>
  </si>
  <si>
    <t>{jsdata.day[14].target}</t>
  </si>
  <si>
    <t>{jsdata.day[14].sumAbsences}</t>
  </si>
  <si>
    <t>{jsdata.day[14].sumPresences}</t>
  </si>
  <si>
    <t>{jsdata.day[15].target}</t>
  </si>
  <si>
    <t>{jsdata.day[15].sumAbsences}</t>
  </si>
  <si>
    <t>{jsdata.day[15].sumPresences}</t>
  </si>
  <si>
    <t>{jsdata.day[16].target}</t>
  </si>
  <si>
    <t>{jsdata.day[16].sumAbsences}</t>
  </si>
  <si>
    <t>{jsdata.day[16].sumPresences}</t>
  </si>
  <si>
    <t>{jsdata.day[17].target}</t>
  </si>
  <si>
    <t>{jsdata.day[17].sumAbsences}</t>
  </si>
  <si>
    <t>{jsdata.day[17].sumPresences}</t>
  </si>
  <si>
    <t>{jsdata.day[18].target}</t>
  </si>
  <si>
    <t>{jsdata.day[18].sumAbsences}</t>
  </si>
  <si>
    <t>{jsdata.day[18].sumPresences}</t>
  </si>
  <si>
    <t>{jsdata.day[19].target}</t>
  </si>
  <si>
    <t>{jsdata.day[19].sumAbsences}</t>
  </si>
  <si>
    <t>{jsdata.day[19].sumPresences}</t>
  </si>
  <si>
    <t>{jsdata.day[20].target}</t>
  </si>
  <si>
    <t>{jsdata.day[20].sumAbsences}</t>
  </si>
  <si>
    <t>{jsdata.day[20].sumPresences}</t>
  </si>
  <si>
    <t>{jsdata.day[21].target}</t>
  </si>
  <si>
    <t>{jsdata.day[21].sumAbsences}</t>
  </si>
  <si>
    <t>{jsdata.day[21].sumPresences}</t>
  </si>
  <si>
    <t>{jsdata.day[22].target}</t>
  </si>
  <si>
    <t>{jsdata.day[22].sumAbsences}</t>
  </si>
  <si>
    <t>{jsdata.day[22].sumPresences}</t>
  </si>
  <si>
    <t>{jsdata.day[23].target}</t>
  </si>
  <si>
    <t>{jsdata.day[23].sumAbsences}</t>
  </si>
  <si>
    <t>{jsdata.day[23].sumPresences}</t>
  </si>
  <si>
    <t>{jsdata.day[24].target}</t>
  </si>
  <si>
    <t>{jsdata.day[24].sumAbsences}</t>
  </si>
  <si>
    <t>{jsdata.day[24].sumPresences}</t>
  </si>
  <si>
    <t>{jsdata.day[25].target}</t>
  </si>
  <si>
    <t>{jsdata.day[25].sumAbsences}</t>
  </si>
  <si>
    <t>{jsdata.day[25].sumPresences}</t>
  </si>
  <si>
    <t>{jsdata.day[26].target}</t>
  </si>
  <si>
    <t>{jsdata.day[26].sumAbsences}</t>
  </si>
  <si>
    <t>{jsdata.day[26].sumPresences}</t>
  </si>
  <si>
    <t>{jsdata.day[27].target}</t>
  </si>
  <si>
    <t>{jsdata.day[27].sumAbsences}</t>
  </si>
  <si>
    <t>{jsdata.day[27].sumPresences}</t>
  </si>
  <si>
    <t>{jsdata.day[28].target}</t>
  </si>
  <si>
    <t>{jsdata.day[28].sumAbsences}</t>
  </si>
  <si>
    <t>{jsdata.day[28].sumPresences}</t>
  </si>
  <si>
    <t>{jsdata.day[29].target}</t>
  </si>
  <si>
    <t>{jsdata.day[29].sumAbsences}</t>
  </si>
  <si>
    <t>{jsdata.day[29].sumPresences}</t>
  </si>
  <si>
    <t>{jsdata.day[30].target}</t>
  </si>
  <si>
    <t>{jsdata.day[30].sumAbsences}</t>
  </si>
  <si>
    <t>{jsdata.day[30].sumPresences}</t>
  </si>
  <si>
    <t>{jsdata.day[31].target}</t>
  </si>
  <si>
    <t>{jsdata.day[31].sumAbsences}</t>
  </si>
  <si>
    <t>{jsdata.day[31].sumPresences}</t>
  </si>
  <si>
    <t>{jsdata.day[32].target}</t>
  </si>
  <si>
    <t>{jsdata.day[32].sumAbsences}</t>
  </si>
  <si>
    <t>{jsdata.day[32].sumPresences}</t>
  </si>
  <si>
    <t>{jsdata.day[33].target}</t>
  </si>
  <si>
    <t>{jsdata.day[33].sumAbsences}</t>
  </si>
  <si>
    <t>{jsdata.day[33].sumPresences}</t>
  </si>
  <si>
    <t>{jsdata.day[34].target}</t>
  </si>
  <si>
    <t>{jsdata.day[34].sumAbsences}</t>
  </si>
  <si>
    <t>{jsdata.day[34].sumPresences}</t>
  </si>
  <si>
    <t>{jsdata.day[35].target}</t>
  </si>
  <si>
    <t>{jsdata.day[35].sumAbsences}</t>
  </si>
  <si>
    <t>{jsdata.day[35].sumPresences}</t>
  </si>
  <si>
    <t>{jsdata.day[36].target}</t>
  </si>
  <si>
    <t>{jsdata.day[36].sumAbsences}</t>
  </si>
  <si>
    <t>{jsdata.day[36].sumPresences}</t>
  </si>
  <si>
    <t>{jsdata.day[37].target}</t>
  </si>
  <si>
    <t>{jsdata.day[37].sumAbsences}</t>
  </si>
  <si>
    <t>{jsdata.day[37].sumPresences}</t>
  </si>
  <si>
    <t>{jsdata.day[38].target}</t>
  </si>
  <si>
    <t>{jsdata.day[38].sumAbsences}</t>
  </si>
  <si>
    <t>{jsdata.day[38].sumPresences}</t>
  </si>
  <si>
    <t>{jsdata.day[39].target}</t>
  </si>
  <si>
    <t>{jsdata.day[39].sumAbsences}</t>
  </si>
  <si>
    <t>{jsdata.day[39].sumPresences}</t>
  </si>
  <si>
    <t>{jsdata.day[40].target}</t>
  </si>
  <si>
    <t>{jsdata.day[40].sumAbsences}</t>
  </si>
  <si>
    <t>{jsdata.day[40].sumPresences}</t>
  </si>
  <si>
    <t>{jsdata.day[41].target}</t>
  </si>
  <si>
    <t>{jsdata.day[41].sumAbsences}</t>
  </si>
  <si>
    <t>{jsdata.day[41].sumPresences}</t>
  </si>
  <si>
    <t>{jsdata.day[42].target}</t>
  </si>
  <si>
    <t>{jsdata.day[42].sumAbsences}</t>
  </si>
  <si>
    <t>{jsdata.day[42].sumPresences}</t>
  </si>
  <si>
    <t>{jsdata.day[43].target}</t>
  </si>
  <si>
    <t>{jsdata.day[43].sumAbsences}</t>
  </si>
  <si>
    <t>{jsdata.day[43].sumPresences}</t>
  </si>
  <si>
    <t>{jsdata.day[44].target}</t>
  </si>
  <si>
    <t>{jsdata.day[44].sumAbsences}</t>
  </si>
  <si>
    <t>{jsdata.day[44].sumPresences}</t>
  </si>
  <si>
    <t>{jsdata.day[45].target}</t>
  </si>
  <si>
    <t>{jsdata.day[45].sumAbsences}</t>
  </si>
  <si>
    <t>{jsdata.day[45].sumPresences}</t>
  </si>
  <si>
    <t>{jsdata.day[46].target}</t>
  </si>
  <si>
    <t>{jsdata.day[46].sumAbsences}</t>
  </si>
  <si>
    <t>{jsdata.day[46].sumPresences}</t>
  </si>
  <si>
    <t>{jsdata.day[47].target}</t>
  </si>
  <si>
    <t>{jsdata.day[47].sumAbsences}</t>
  </si>
  <si>
    <t>{jsdata.day[47].sumPresences}</t>
  </si>
  <si>
    <t>{jsdata.day[48].target}</t>
  </si>
  <si>
    <t>{jsdata.day[48].sumAbsences}</t>
  </si>
  <si>
    <t>{jsdata.day[48].sumPresences}</t>
  </si>
  <si>
    <t>{jsdata.day[49].target}</t>
  </si>
  <si>
    <t>{jsdata.day[49].sumAbsences}</t>
  </si>
  <si>
    <t>{jsdata.day[49].sumPresences}</t>
  </si>
  <si>
    <t>{jsdata.day[50].target}</t>
  </si>
  <si>
    <t>{jsdata.day[50].sumAbsences}</t>
  </si>
  <si>
    <t>{jsdata.day[50].sumPresences}</t>
  </si>
  <si>
    <t>{jsdata.day[51].target}</t>
  </si>
  <si>
    <t>{jsdata.day[51].sumAbsences}</t>
  </si>
  <si>
    <t>{jsdata.day[51].sumPresences}</t>
  </si>
  <si>
    <t>{jsdata.day[52].target}</t>
  </si>
  <si>
    <t>{jsdata.day[52].sumAbsences}</t>
  </si>
  <si>
    <t>{jsdata.day[52].sumPresences}</t>
  </si>
  <si>
    <t>{jsdata.day[53].target}</t>
  </si>
  <si>
    <t>{jsdata.day[53].sumAbsences}</t>
  </si>
  <si>
    <t>{jsdata.day[53].sumPresences}</t>
  </si>
  <si>
    <t>{jsdata.day[54].target}</t>
  </si>
  <si>
    <t>{jsdata.day[54].sumAbsences}</t>
  </si>
  <si>
    <t>{jsdata.day[54].sumPresences}</t>
  </si>
  <si>
    <t>{jsdata.day[55].target}</t>
  </si>
  <si>
    <t>{jsdata.day[55].sumAbsences}</t>
  </si>
  <si>
    <t>{jsdata.day[55].sumPresences}</t>
  </si>
  <si>
    <t>{jsdata.day[56].target}</t>
  </si>
  <si>
    <t>{jsdata.day[56].sumAbsences}</t>
  </si>
  <si>
    <t>{jsdata.day[56].sumPresences}</t>
  </si>
  <si>
    <t>{jsdata.day[57].target}</t>
  </si>
  <si>
    <t>{jsdata.day[57].sumAbsences}</t>
  </si>
  <si>
    <t>{jsdata.day[57].sumPresences}</t>
  </si>
  <si>
    <t>{jsdata.day[58].target}</t>
  </si>
  <si>
    <t>{jsdata.day[58].sumAbsences}</t>
  </si>
  <si>
    <t>{jsdata.day[58].sumPresences}</t>
  </si>
  <si>
    <t>{jsdata.day[59].target}</t>
  </si>
  <si>
    <t>{jsdata.day[59].sumAbsences}</t>
  </si>
  <si>
    <t>{jsdata.day[59].sumPresences}</t>
  </si>
  <si>
    <t>{jsdata.day[60].target}</t>
  </si>
  <si>
    <t>{jsdata.day[60].sumAbsences}</t>
  </si>
  <si>
    <t>{jsdata.day[60].sumPresences}</t>
  </si>
  <si>
    <t>{jsdata.day[61].target}</t>
  </si>
  <si>
    <t>{jsdata.day[61].sumAbsences}</t>
  </si>
  <si>
    <t>{jsdata.day[61].sumPresences}</t>
  </si>
  <si>
    <t>{jsdata.day[62].target}</t>
  </si>
  <si>
    <t>{jsdata.day[62].sumAbsences}</t>
  </si>
  <si>
    <t>{jsdata.day[62].sumPresences}</t>
  </si>
  <si>
    <t>{jsdata.day[63].target}</t>
  </si>
  <si>
    <t>{jsdata.day[63].sumAbsences}</t>
  </si>
  <si>
    <t>{jsdata.day[63].sumPresences}</t>
  </si>
  <si>
    <t>{jsdata.day[64].target}</t>
  </si>
  <si>
    <t>{jsdata.day[64].sumAbsences}</t>
  </si>
  <si>
    <t>{jsdata.day[64].sumPresences}</t>
  </si>
  <si>
    <t>{jsdata.day[65].target}</t>
  </si>
  <si>
    <t>{jsdata.day[65].sumAbsences}</t>
  </si>
  <si>
    <t>{jsdata.day[65].sumPresences}</t>
  </si>
  <si>
    <t>{jsdata.day[66].target}</t>
  </si>
  <si>
    <t>{jsdata.day[66].sumAbsences}</t>
  </si>
  <si>
    <t>{jsdata.day[66].sumPresences}</t>
  </si>
  <si>
    <t>{jsdata.day[67].target}</t>
  </si>
  <si>
    <t>{jsdata.day[67].sumAbsences}</t>
  </si>
  <si>
    <t>{jsdata.day[67].sumPresences}</t>
  </si>
  <si>
    <t>{jsdata.day[68].target}</t>
  </si>
  <si>
    <t>{jsdata.day[68].sumAbsences}</t>
  </si>
  <si>
    <t>{jsdata.day[68].sumPresences}</t>
  </si>
  <si>
    <t>{jsdata.day[69].target}</t>
  </si>
  <si>
    <t>{jsdata.day[69].sumAbsences}</t>
  </si>
  <si>
    <t>{jsdata.day[69].sumPresences}</t>
  </si>
  <si>
    <t>{jsdata.day[70].target}</t>
  </si>
  <si>
    <t>{jsdata.day[70].sumAbsences}</t>
  </si>
  <si>
    <t>{jsdata.day[70].sumPresences}</t>
  </si>
  <si>
    <t>{jsdata.day[71].target}</t>
  </si>
  <si>
    <t>{jsdata.day[71].sumAbsences}</t>
  </si>
  <si>
    <t>{jsdata.day[71].sumPresences}</t>
  </si>
  <si>
    <t>{jsdata.day[72].target}</t>
  </si>
  <si>
    <t>{jsdata.day[72].sumAbsences}</t>
  </si>
  <si>
    <t>{jsdata.day[72].sumPresences}</t>
  </si>
  <si>
    <t>{jsdata.day[73].target}</t>
  </si>
  <si>
    <t>{jsdata.day[73].sumAbsences}</t>
  </si>
  <si>
    <t>{jsdata.day[73].sumPresences}</t>
  </si>
  <si>
    <t>{jsdata.day[74].target}</t>
  </si>
  <si>
    <t>{jsdata.day[74].sumAbsences}</t>
  </si>
  <si>
    <t>{jsdata.day[74].sumPresences}</t>
  </si>
  <si>
    <t>{jsdata.day[75].target}</t>
  </si>
  <si>
    <t>{jsdata.day[75].sumAbsences}</t>
  </si>
  <si>
    <t>{jsdata.day[75].sumPresences}</t>
  </si>
  <si>
    <t>{jsdata.day[76].target}</t>
  </si>
  <si>
    <t>{jsdata.day[76].sumAbsences}</t>
  </si>
  <si>
    <t>{jsdata.day[76].sumPresences}</t>
  </si>
  <si>
    <t>{jsdata.day[77].target}</t>
  </si>
  <si>
    <t>{jsdata.day[77].sumAbsences}</t>
  </si>
  <si>
    <t>{jsdata.day[77].sumPresences}</t>
  </si>
  <si>
    <t>{jsdata.day[78].target}</t>
  </si>
  <si>
    <t>{jsdata.day[78].sumAbsences}</t>
  </si>
  <si>
    <t>{jsdata.day[78].sumPresences}</t>
  </si>
  <si>
    <t>{jsdata.day[79].target}</t>
  </si>
  <si>
    <t>{jsdata.day[79].sumAbsences}</t>
  </si>
  <si>
    <t>{jsdata.day[79].sumPresences}</t>
  </si>
  <si>
    <t>{jsdata.day[80].target}</t>
  </si>
  <si>
    <t>{jsdata.day[80].sumAbsences}</t>
  </si>
  <si>
    <t>{jsdata.day[80].sumPresences}</t>
  </si>
  <si>
    <t>{jsdata.day[81].target}</t>
  </si>
  <si>
    <t>{jsdata.day[81].sumAbsences}</t>
  </si>
  <si>
    <t>{jsdata.day[81].sumPresences}</t>
  </si>
  <si>
    <t>{jsdata.day[82].target}</t>
  </si>
  <si>
    <t>{jsdata.day[82].sumAbsences}</t>
  </si>
  <si>
    <t>{jsdata.day[82].sumPresences}</t>
  </si>
  <si>
    <t>{jsdata.day[83].target}</t>
  </si>
  <si>
    <t>{jsdata.day[83].sumAbsences}</t>
  </si>
  <si>
    <t>{jsdata.day[83].sumPresences}</t>
  </si>
  <si>
    <t>{jsdata.day[84].target}</t>
  </si>
  <si>
    <t>{jsdata.day[84].sumAbsences}</t>
  </si>
  <si>
    <t>{jsdata.day[84].sumPresences}</t>
  </si>
  <si>
    <t>{jsdata.day[85].target}</t>
  </si>
  <si>
    <t>{jsdata.day[85].sumAbsences}</t>
  </si>
  <si>
    <t>{jsdata.day[85].sumPresences}</t>
  </si>
  <si>
    <t>{jsdata.day[86].target}</t>
  </si>
  <si>
    <t>{jsdata.day[86].sumAbsences}</t>
  </si>
  <si>
    <t>{jsdata.day[86].sumPresences}</t>
  </si>
  <si>
    <t>{jsdata.day[87].target}</t>
  </si>
  <si>
    <t>{jsdata.day[87].sumAbsences}</t>
  </si>
  <si>
    <t>{jsdata.day[87].sumPresences}</t>
  </si>
  <si>
    <t>{jsdata.day[88].target}</t>
  </si>
  <si>
    <t>{jsdata.day[88].sumAbsences}</t>
  </si>
  <si>
    <t>{jsdata.day[88].sumPresences}</t>
  </si>
  <si>
    <t>{jsdata.day[89].target}</t>
  </si>
  <si>
    <t>{jsdata.day[89].sumAbsences}</t>
  </si>
  <si>
    <t>{jsdata.day[89].sumPresences}</t>
  </si>
  <si>
    <t>{jsdata.day[90].target}</t>
  </si>
  <si>
    <t>{jsdata.day[90].sumAbsences}</t>
  </si>
  <si>
    <t>{jsdata.day[90].sumPresences}</t>
  </si>
  <si>
    <t>{jsdata.day[91].target}</t>
  </si>
  <si>
    <t>{jsdata.day[91].sumAbsences}</t>
  </si>
  <si>
    <t>{jsdata.day[91].sumPresences}</t>
  </si>
  <si>
    <t>{jsdata.day[92].target}</t>
  </si>
  <si>
    <t>{jsdata.day[92].sumAbsences}</t>
  </si>
  <si>
    <t>{jsdata.day[92].sumPresences}</t>
  </si>
  <si>
    <t>{jsdata.day[93].target}</t>
  </si>
  <si>
    <t>{jsdata.day[93].sumAbsences}</t>
  </si>
  <si>
    <t>{jsdata.day[93].sumPresences}</t>
  </si>
  <si>
    <t>{jsdata.day[94].target}</t>
  </si>
  <si>
    <t>{jsdata.day[94].sumAbsences}</t>
  </si>
  <si>
    <t>{jsdata.day[94].sumPresences}</t>
  </si>
  <si>
    <t>{jsdata.day[95].target}</t>
  </si>
  <si>
    <t>{jsdata.day[95].sumAbsences}</t>
  </si>
  <si>
    <t>{jsdata.day[95].sumPresences}</t>
  </si>
  <si>
    <t>{jsdata.day[96].target}</t>
  </si>
  <si>
    <t>{jsdata.day[96].sumAbsences}</t>
  </si>
  <si>
    <t>{jsdata.day[96].sumPresences}</t>
  </si>
  <si>
    <t>{jsdata.day[97].target}</t>
  </si>
  <si>
    <t>{jsdata.day[97].sumAbsences}</t>
  </si>
  <si>
    <t>{jsdata.day[97].sumPresences}</t>
  </si>
  <si>
    <t>{jsdata.day[98].target}</t>
  </si>
  <si>
    <t>{jsdata.day[98].sumAbsences}</t>
  </si>
  <si>
    <t>{jsdata.day[98].sumPresences}</t>
  </si>
  <si>
    <t>{jsdata.day[99].target}</t>
  </si>
  <si>
    <t>{jsdata.day[99].sumAbsences}</t>
  </si>
  <si>
    <t>{jsdata.day[99].sumPresences}</t>
  </si>
  <si>
    <t>{jsdata.day[100].target}</t>
  </si>
  <si>
    <t>{jsdata.day[100].sumAbsences}</t>
  </si>
  <si>
    <t>{jsdata.day[100].sumPresences}</t>
  </si>
  <si>
    <t>{jsdata.day[101].target}</t>
  </si>
  <si>
    <t>{jsdata.day[101].sumAbsences}</t>
  </si>
  <si>
    <t>{jsdata.day[101].sumPresences}</t>
  </si>
  <si>
    <t>{jsdata.day[102].target}</t>
  </si>
  <si>
    <t>{jsdata.day[102].sumAbsences}</t>
  </si>
  <si>
    <t>{jsdata.day[102].sumPresences}</t>
  </si>
  <si>
    <t>{jsdata.day[103].target}</t>
  </si>
  <si>
    <t>{jsdata.day[103].sumAbsences}</t>
  </si>
  <si>
    <t>{jsdata.day[103].sumPresences}</t>
  </si>
  <si>
    <t>{jsdata.day[104].target}</t>
  </si>
  <si>
    <t>{jsdata.day[104].sumAbsences}</t>
  </si>
  <si>
    <t>{jsdata.day[104].sumPresences}</t>
  </si>
  <si>
    <t>{jsdata.day[105].target}</t>
  </si>
  <si>
    <t>{jsdata.day[105].sumAbsences}</t>
  </si>
  <si>
    <t>{jsdata.day[105].sumPresences}</t>
  </si>
  <si>
    <t>{jsdata.day[106].target}</t>
  </si>
  <si>
    <t>{jsdata.day[106].sumAbsences}</t>
  </si>
  <si>
    <t>{jsdata.day[106].sumPresences}</t>
  </si>
  <si>
    <t>{jsdata.day[107].target}</t>
  </si>
  <si>
    <t>{jsdata.day[107].sumAbsences}</t>
  </si>
  <si>
    <t>{jsdata.day[107].sumPresences}</t>
  </si>
  <si>
    <t>{jsdata.day[108].target}</t>
  </si>
  <si>
    <t>{jsdata.day[108].sumAbsences}</t>
  </si>
  <si>
    <t>{jsdata.day[108].sumPresences}</t>
  </si>
  <si>
    <t>{jsdata.day[109].target}</t>
  </si>
  <si>
    <t>{jsdata.day[109].sumAbsences}</t>
  </si>
  <si>
    <t>{jsdata.day[109].sumPresences}</t>
  </si>
  <si>
    <t>{jsdata.day[110].target}</t>
  </si>
  <si>
    <t>{jsdata.day[110].sumAbsences}</t>
  </si>
  <si>
    <t>{jsdata.day[110].sumPresences}</t>
  </si>
  <si>
    <t>{jsdata.day[111].target}</t>
  </si>
  <si>
    <t>{jsdata.day[111].sumAbsences}</t>
  </si>
  <si>
    <t>{jsdata.day[111].sumPresences}</t>
  </si>
  <si>
    <t>{jsdata.day[112].target}</t>
  </si>
  <si>
    <t>{jsdata.day[112].sumAbsences}</t>
  </si>
  <si>
    <t>{jsdata.day[112].sumPresences}</t>
  </si>
  <si>
    <t>{jsdata.day[113].target}</t>
  </si>
  <si>
    <t>{jsdata.day[113].sumAbsences}</t>
  </si>
  <si>
    <t>{jsdata.day[113].sumPresences}</t>
  </si>
  <si>
    <t>{jsdata.day[114].target}</t>
  </si>
  <si>
    <t>{jsdata.day[114].sumAbsences}</t>
  </si>
  <si>
    <t>{jsdata.day[114].sumPresences}</t>
  </si>
  <si>
    <t>{jsdata.day[115].target}</t>
  </si>
  <si>
    <t>{jsdata.day[115].sumAbsences}</t>
  </si>
  <si>
    <t>{jsdata.day[115].sumPresences}</t>
  </si>
  <si>
    <t>{jsdata.day[116].target}</t>
  </si>
  <si>
    <t>{jsdata.day[116].sumAbsences}</t>
  </si>
  <si>
    <t>{jsdata.day[116].sumPresences}</t>
  </si>
  <si>
    <t>{jsdata.day[117].target}</t>
  </si>
  <si>
    <t>{jsdata.day[117].sumAbsences}</t>
  </si>
  <si>
    <t>{jsdata.day[117].sumPresences}</t>
  </si>
  <si>
    <t>{jsdata.day[118].target}</t>
  </si>
  <si>
    <t>{jsdata.day[118].sumAbsences}</t>
  </si>
  <si>
    <t>{jsdata.day[118].sumPresences}</t>
  </si>
  <si>
    <t>{jsdata.day[119].target}</t>
  </si>
  <si>
    <t>{jsdata.day[119].sumAbsences}</t>
  </si>
  <si>
    <t>{jsdata.day[119].sumPresences}</t>
  </si>
  <si>
    <t>{jsdata.day[120].target}</t>
  </si>
  <si>
    <t>{jsdata.day[120].sumAbsences}</t>
  </si>
  <si>
    <t>{jsdata.day[120].sumPresences}</t>
  </si>
  <si>
    <t>{jsdata.day[121].target}</t>
  </si>
  <si>
    <t>{jsdata.day[121].sumAbsences}</t>
  </si>
  <si>
    <t>{jsdata.day[121].sumPresences}</t>
  </si>
  <si>
    <t>{jsdata.day[122].target}</t>
  </si>
  <si>
    <t>{jsdata.day[122].sumAbsences}</t>
  </si>
  <si>
    <t>{jsdata.day[122].sumPresences}</t>
  </si>
  <si>
    <t>{jsdata.day[123].target}</t>
  </si>
  <si>
    <t>{jsdata.day[123].sumAbsences}</t>
  </si>
  <si>
    <t>{jsdata.day[123].sumPresences}</t>
  </si>
  <si>
    <t>{jsdata.day[124].target}</t>
  </si>
  <si>
    <t>{jsdata.day[124].sumAbsences}</t>
  </si>
  <si>
    <t>{jsdata.day[124].sumPresences}</t>
  </si>
  <si>
    <t>{jsdata.day[125].target}</t>
  </si>
  <si>
    <t>{jsdata.day[125].sumAbsences}</t>
  </si>
  <si>
    <t>{jsdata.day[125].sumPresences}</t>
  </si>
  <si>
    <t>{jsdata.day[126].target}</t>
  </si>
  <si>
    <t>{jsdata.day[126].sumAbsences}</t>
  </si>
  <si>
    <t>{jsdata.day[126].sumPresences}</t>
  </si>
  <si>
    <t>{jsdata.day[127].target}</t>
  </si>
  <si>
    <t>{jsdata.day[127].sumAbsences}</t>
  </si>
  <si>
    <t>{jsdata.day[127].sumPresences}</t>
  </si>
  <si>
    <t>{jsdata.day[128].target}</t>
  </si>
  <si>
    <t>{jsdata.day[128].sumAbsences}</t>
  </si>
  <si>
    <t>{jsdata.day[128].sumPresences}</t>
  </si>
  <si>
    <t>{jsdata.day[129].target}</t>
  </si>
  <si>
    <t>{jsdata.day[129].sumAbsences}</t>
  </si>
  <si>
    <t>{jsdata.day[129].sumPresences}</t>
  </si>
  <si>
    <t>{jsdata.day[130].target}</t>
  </si>
  <si>
    <t>{jsdata.day[130].sumAbsences}</t>
  </si>
  <si>
    <t>{jsdata.day[130].sumPresences}</t>
  </si>
  <si>
    <t>{jsdata.day[131].target}</t>
  </si>
  <si>
    <t>{jsdata.day[131].sumAbsences}</t>
  </si>
  <si>
    <t>{jsdata.day[131].sumPresences}</t>
  </si>
  <si>
    <t>{jsdata.day[132].target}</t>
  </si>
  <si>
    <t>{jsdata.day[132].sumAbsences}</t>
  </si>
  <si>
    <t>{jsdata.day[132].sumPresences}</t>
  </si>
  <si>
    <t>{jsdata.day[133].target}</t>
  </si>
  <si>
    <t>{jsdata.day[133].sumAbsences}</t>
  </si>
  <si>
    <t>{jsdata.day[133].sumPresences}</t>
  </si>
  <si>
    <t>{jsdata.day[134].target}</t>
  </si>
  <si>
    <t>{jsdata.day[134].sumAbsences}</t>
  </si>
  <si>
    <t>{jsdata.day[134].sumPresences}</t>
  </si>
  <si>
    <t>{jsdata.day[135].target}</t>
  </si>
  <si>
    <t>{jsdata.day[135].sumAbsences}</t>
  </si>
  <si>
    <t>{jsdata.day[135].sumPresences}</t>
  </si>
  <si>
    <t>{jsdata.day[136].target}</t>
  </si>
  <si>
    <t>{jsdata.day[136].sumAbsences}</t>
  </si>
  <si>
    <t>{jsdata.day[136].sumPresences}</t>
  </si>
  <si>
    <t>{jsdata.day[137].target}</t>
  </si>
  <si>
    <t>{jsdata.day[137].sumAbsences}</t>
  </si>
  <si>
    <t>{jsdata.day[137].sumPresences}</t>
  </si>
  <si>
    <t>{jsdata.day[138].target}</t>
  </si>
  <si>
    <t>{jsdata.day[138].sumAbsences}</t>
  </si>
  <si>
    <t>{jsdata.day[138].sumPresences}</t>
  </si>
  <si>
    <t>{jsdata.day[139].target}</t>
  </si>
  <si>
    <t>{jsdata.day[139].sumAbsences}</t>
  </si>
  <si>
    <t>{jsdata.day[139].sumPresences}</t>
  </si>
  <si>
    <t>{jsdata.day[140].target}</t>
  </si>
  <si>
    <t>{jsdata.day[140].sumAbsences}</t>
  </si>
  <si>
    <t>{jsdata.day[140].sumPresences}</t>
  </si>
  <si>
    <t>{jsdata.day[141].target}</t>
  </si>
  <si>
    <t>{jsdata.day[141].sumAbsences}</t>
  </si>
  <si>
    <t>{jsdata.day[141].sumPresences}</t>
  </si>
  <si>
    <t>{jsdata.day[142].target}</t>
  </si>
  <si>
    <t>{jsdata.day[142].sumAbsences}</t>
  </si>
  <si>
    <t>{jsdata.day[142].sumPresences}</t>
  </si>
  <si>
    <t>{jsdata.day[143].target}</t>
  </si>
  <si>
    <t>{jsdata.day[143].sumAbsences}</t>
  </si>
  <si>
    <t>{jsdata.day[143].sumPresences}</t>
  </si>
  <si>
    <t>{jsdata.day[144].target}</t>
  </si>
  <si>
    <t>{jsdata.day[144].sumAbsences}</t>
  </si>
  <si>
    <t>{jsdata.day[144].sumPresences}</t>
  </si>
  <si>
    <t>{jsdata.day[145].target}</t>
  </si>
  <si>
    <t>{jsdata.day[145].sumAbsences}</t>
  </si>
  <si>
    <t>{jsdata.day[145].sumPresences}</t>
  </si>
  <si>
    <t>{jsdata.day[146].target}</t>
  </si>
  <si>
    <t>{jsdata.day[146].sumAbsences}</t>
  </si>
  <si>
    <t>{jsdata.day[146].sumPresences}</t>
  </si>
  <si>
    <t>{jsdata.day[147].target}</t>
  </si>
  <si>
    <t>{jsdata.day[147].sumAbsences}</t>
  </si>
  <si>
    <t>{jsdata.day[147].sumPresences}</t>
  </si>
  <si>
    <t>{jsdata.day[148].target}</t>
  </si>
  <si>
    <t>{jsdata.day[148].sumAbsences}</t>
  </si>
  <si>
    <t>{jsdata.day[148].sumPresences}</t>
  </si>
  <si>
    <t>{jsdata.day[149].target}</t>
  </si>
  <si>
    <t>{jsdata.day[149].sumAbsences}</t>
  </si>
  <si>
    <t>{jsdata.day[149].sumPresences}</t>
  </si>
  <si>
    <t>{jsdata.day[150].target}</t>
  </si>
  <si>
    <t>{jsdata.day[150].sumAbsences}</t>
  </si>
  <si>
    <t>{jsdata.day[150].sumPresences}</t>
  </si>
  <si>
    <t>{jsdata.day[151].target}</t>
  </si>
  <si>
    <t>{jsdata.day[151].sumAbsences}</t>
  </si>
  <si>
    <t>{jsdata.day[151].sumPresences}</t>
  </si>
  <si>
    <t>{jsdata.day[152].target}</t>
  </si>
  <si>
    <t>{jsdata.day[152].sumAbsences}</t>
  </si>
  <si>
    <t>{jsdata.day[152].sumPresences}</t>
  </si>
  <si>
    <t>{jsdata.day[153].target}</t>
  </si>
  <si>
    <t>{jsdata.day[153].sumAbsences}</t>
  </si>
  <si>
    <t>{jsdata.day[153].sumPresences}</t>
  </si>
  <si>
    <t>{jsdata.day[154].target}</t>
  </si>
  <si>
    <t>{jsdata.day[154].sumAbsences}</t>
  </si>
  <si>
    <t>{jsdata.day[154].sumPresences}</t>
  </si>
  <si>
    <t>{jsdata.day[155].target}</t>
  </si>
  <si>
    <t>{jsdata.day[155].sumAbsences}</t>
  </si>
  <si>
    <t>{jsdata.day[155].sumPresences}</t>
  </si>
  <si>
    <t>{jsdata.day[156].target}</t>
  </si>
  <si>
    <t>{jsdata.day[156].sumAbsences}</t>
  </si>
  <si>
    <t>{jsdata.day[156].sumPresences}</t>
  </si>
  <si>
    <t>{jsdata.day[157].target}</t>
  </si>
  <si>
    <t>{jsdata.day[157].sumAbsences}</t>
  </si>
  <si>
    <t>{jsdata.day[157].sumPresences}</t>
  </si>
  <si>
    <t>{jsdata.day[158].target}</t>
  </si>
  <si>
    <t>{jsdata.day[158].sumAbsences}</t>
  </si>
  <si>
    <t>{jsdata.day[158].sumPresences}</t>
  </si>
  <si>
    <t>{jsdata.day[159].target}</t>
  </si>
  <si>
    <t>{jsdata.day[159].sumAbsences}</t>
  </si>
  <si>
    <t>{jsdata.day[159].sumPresences}</t>
  </si>
  <si>
    <t>{jsdata.day[160].target}</t>
  </si>
  <si>
    <t>{jsdata.day[160].sumAbsences}</t>
  </si>
  <si>
    <t>{jsdata.day[160].sumPresences}</t>
  </si>
  <si>
    <t>{jsdata.day[161].target}</t>
  </si>
  <si>
    <t>{jsdata.day[161].sumAbsences}</t>
  </si>
  <si>
    <t>{jsdata.day[161].sumPresences}</t>
  </si>
  <si>
    <t>{jsdata.day[162].target}</t>
  </si>
  <si>
    <t>{jsdata.day[162].sumAbsences}</t>
  </si>
  <si>
    <t>{jsdata.day[162].sumPresences}</t>
  </si>
  <si>
    <t>{jsdata.day[163].target}</t>
  </si>
  <si>
    <t>{jsdata.day[163].sumAbsences}</t>
  </si>
  <si>
    <t>{jsdata.day[163].sumPresences}</t>
  </si>
  <si>
    <t>{jsdata.day[164].target}</t>
  </si>
  <si>
    <t>{jsdata.day[164].sumAbsences}</t>
  </si>
  <si>
    <t>{jsdata.day[164].sumPresences}</t>
  </si>
  <si>
    <t>{jsdata.day[165].target}</t>
  </si>
  <si>
    <t>{jsdata.day[165].sumAbsences}</t>
  </si>
  <si>
    <t>{jsdata.day[165].sumPresences}</t>
  </si>
  <si>
    <t>{jsdata.day[166].target}</t>
  </si>
  <si>
    <t>{jsdata.day[166].sumAbsences}</t>
  </si>
  <si>
    <t>{jsdata.day[166].sumPresences}</t>
  </si>
  <si>
    <t>{jsdata.day[167].target}</t>
  </si>
  <si>
    <t>{jsdata.day[167].sumAbsences}</t>
  </si>
  <si>
    <t>{jsdata.day[167].sumPresences}</t>
  </si>
  <si>
    <t>{jsdata.day[168].target}</t>
  </si>
  <si>
    <t>{jsdata.day[168].sumAbsences}</t>
  </si>
  <si>
    <t>{jsdata.day[168].sumPresences}</t>
  </si>
  <si>
    <t>{jsdata.day[169].target}</t>
  </si>
  <si>
    <t>{jsdata.day[169].sumAbsences}</t>
  </si>
  <si>
    <t>{jsdata.day[169].sumPresences}</t>
  </si>
  <si>
    <t>{jsdata.day[170].target}</t>
  </si>
  <si>
    <t>{jsdata.day[170].sumAbsences}</t>
  </si>
  <si>
    <t>{jsdata.day[170].sumPresences}</t>
  </si>
  <si>
    <t>{jsdata.day[171].target}</t>
  </si>
  <si>
    <t>{jsdata.day[171].sumAbsences}</t>
  </si>
  <si>
    <t>{jsdata.day[171].sumPresences}</t>
  </si>
  <si>
    <t>{jsdata.day[172].target}</t>
  </si>
  <si>
    <t>{jsdata.day[172].sumAbsences}</t>
  </si>
  <si>
    <t>{jsdata.day[172].sumPresences}</t>
  </si>
  <si>
    <t>{jsdata.day[173].target}</t>
  </si>
  <si>
    <t>{jsdata.day[173].sumAbsences}</t>
  </si>
  <si>
    <t>{jsdata.day[173].sumPresences}</t>
  </si>
  <si>
    <t>{jsdata.day[174].target}</t>
  </si>
  <si>
    <t>{jsdata.day[174].sumAbsences}</t>
  </si>
  <si>
    <t>{jsdata.day[174].sumPresences}</t>
  </si>
  <si>
    <t>{jsdata.day[175].target}</t>
  </si>
  <si>
    <t>{jsdata.day[175].sumAbsences}</t>
  </si>
  <si>
    <t>{jsdata.day[175].sumPresences}</t>
  </si>
  <si>
    <t>{jsdata.day[176].target}</t>
  </si>
  <si>
    <t>{jsdata.day[176].sumAbsences}</t>
  </si>
  <si>
    <t>{jsdata.day[176].sumPresences}</t>
  </si>
  <si>
    <t>{jsdata.day[177].target}</t>
  </si>
  <si>
    <t>{jsdata.day[177].sumAbsences}</t>
  </si>
  <si>
    <t>{jsdata.day[177].sumPresences}</t>
  </si>
  <si>
    <t>{jsdata.day[178].target}</t>
  </si>
  <si>
    <t>{jsdata.day[178].sumAbsences}</t>
  </si>
  <si>
    <t>{jsdata.day[178].sumPresences}</t>
  </si>
  <si>
    <t>{jsdata.day[179].target}</t>
  </si>
  <si>
    <t>{jsdata.day[179].sumAbsences}</t>
  </si>
  <si>
    <t>{jsdata.day[179].sumPresences}</t>
  </si>
  <si>
    <t>{jsdata.day[180].target}</t>
  </si>
  <si>
    <t>{jsdata.day[180].sumAbsences}</t>
  </si>
  <si>
    <t>{jsdata.day[180].sumPresences}</t>
  </si>
  <si>
    <t>{jsdata.day[181].target}</t>
  </si>
  <si>
    <t>{jsdata.day[181].sumAbsences}</t>
  </si>
  <si>
    <t>{jsdata.day[181].sumPresences}</t>
  </si>
  <si>
    <t>{jsdata.day[182].target}</t>
  </si>
  <si>
    <t>{jsdata.day[182].sumAbsences}</t>
  </si>
  <si>
    <t>{jsdata.day[182].sumPresences}</t>
  </si>
  <si>
    <t>{jsdata.day[183].target}</t>
  </si>
  <si>
    <t>{jsdata.day[183].sumAbsences}</t>
  </si>
  <si>
    <t>{jsdata.day[183].sumPresences}</t>
  </si>
  <si>
    <t>{jsdata.day[184].target}</t>
  </si>
  <si>
    <t>{jsdata.day[184].sumAbsences}</t>
  </si>
  <si>
    <t>{jsdata.day[184].sumPresences}</t>
  </si>
  <si>
    <t>{jsdata.day[185].target}</t>
  </si>
  <si>
    <t>{jsdata.day[185].sumAbsences}</t>
  </si>
  <si>
    <t>{jsdata.day[185].sumPresences}</t>
  </si>
  <si>
    <t>{jsdata.day[186].target}</t>
  </si>
  <si>
    <t>{jsdata.day[186].sumAbsences}</t>
  </si>
  <si>
    <t>{jsdata.day[186].sumPresences}</t>
  </si>
  <si>
    <t>{jsdata.day[187].target}</t>
  </si>
  <si>
    <t>{jsdata.day[187].sumAbsences}</t>
  </si>
  <si>
    <t>{jsdata.day[187].sumPresences}</t>
  </si>
  <si>
    <t>{jsdata.day[188].target}</t>
  </si>
  <si>
    <t>{jsdata.day[188].sumAbsences}</t>
  </si>
  <si>
    <t>{jsdata.day[188].sumPresences}</t>
  </si>
  <si>
    <t>{jsdata.day[189].target}</t>
  </si>
  <si>
    <t>{jsdata.day[189].sumAbsences}</t>
  </si>
  <si>
    <t>{jsdata.day[189].sumPresences}</t>
  </si>
  <si>
    <t>{jsdata.day[190].target}</t>
  </si>
  <si>
    <t>{jsdata.day[190].sumAbsences}</t>
  </si>
  <si>
    <t>{jsdata.day[190].sumPresences}</t>
  </si>
  <si>
    <t>{jsdata.day[191].target}</t>
  </si>
  <si>
    <t>{jsdata.day[191].sumAbsences}</t>
  </si>
  <si>
    <t>{jsdata.day[191].sumPresences}</t>
  </si>
  <si>
    <t>{jsdata.day[192].target}</t>
  </si>
  <si>
    <t>{jsdata.day[192].sumAbsences}</t>
  </si>
  <si>
    <t>{jsdata.day[192].sumPresences}</t>
  </si>
  <si>
    <t>{jsdata.day[193].target}</t>
  </si>
  <si>
    <t>{jsdata.day[193].sumAbsences}</t>
  </si>
  <si>
    <t>{jsdata.day[193].sumPresences}</t>
  </si>
  <si>
    <t>{jsdata.day[194].target}</t>
  </si>
  <si>
    <t>{jsdata.day[194].sumAbsences}</t>
  </si>
  <si>
    <t>{jsdata.day[194].sumPresences}</t>
  </si>
  <si>
    <t>{jsdata.day[195].target}</t>
  </si>
  <si>
    <t>{jsdata.day[195].sumAbsences}</t>
  </si>
  <si>
    <t>{jsdata.day[195].sumPresences}</t>
  </si>
  <si>
    <t>{jsdata.day[196].target}</t>
  </si>
  <si>
    <t>{jsdata.day[196].sumAbsences}</t>
  </si>
  <si>
    <t>{jsdata.day[196].sumPresences}</t>
  </si>
  <si>
    <t>{jsdata.day[197].target}</t>
  </si>
  <si>
    <t>{jsdata.day[197].sumAbsences}</t>
  </si>
  <si>
    <t>{jsdata.day[197].sumPresences}</t>
  </si>
  <si>
    <t>{jsdata.day[198].target}</t>
  </si>
  <si>
    <t>{jsdata.day[198].sumAbsences}</t>
  </si>
  <si>
    <t>{jsdata.day[198].sumPresences}</t>
  </si>
  <si>
    <t>{jsdata.day[199].target}</t>
  </si>
  <si>
    <t>{jsdata.day[199].sumAbsences}</t>
  </si>
  <si>
    <t>{jsdata.day[199].sumPresences}</t>
  </si>
  <si>
    <t>{jsdata.day[200].target}</t>
  </si>
  <si>
    <t>{jsdata.day[200].sumAbsences}</t>
  </si>
  <si>
    <t>{jsdata.day[200].sumPresences}</t>
  </si>
  <si>
    <t>{jsdata.day[201].target}</t>
  </si>
  <si>
    <t>{jsdata.day[201].sumAbsences}</t>
  </si>
  <si>
    <t>{jsdata.day[201].sumPresences}</t>
  </si>
  <si>
    <t>{jsdata.day[202].target}</t>
  </si>
  <si>
    <t>{jsdata.day[202].sumAbsences}</t>
  </si>
  <si>
    <t>{jsdata.day[202].sumPresences}</t>
  </si>
  <si>
    <t>{jsdata.day[203].target}</t>
  </si>
  <si>
    <t>{jsdata.day[203].sumAbsences}</t>
  </si>
  <si>
    <t>{jsdata.day[203].sumPresences}</t>
  </si>
  <si>
    <t>{jsdata.day[204].target}</t>
  </si>
  <si>
    <t>{jsdata.day[204].sumAbsences}</t>
  </si>
  <si>
    <t>{jsdata.day[204].sumPresences}</t>
  </si>
  <si>
    <t>{jsdata.day[205].target}</t>
  </si>
  <si>
    <t>{jsdata.day[205].sumAbsences}</t>
  </si>
  <si>
    <t>{jsdata.day[205].sumPresences}</t>
  </si>
  <si>
    <t>{jsdata.day[206].target}</t>
  </si>
  <si>
    <t>{jsdata.day[206].sumAbsences}</t>
  </si>
  <si>
    <t>{jsdata.day[206].sumPresences}</t>
  </si>
  <si>
    <t>{jsdata.day[207].target}</t>
  </si>
  <si>
    <t>{jsdata.day[207].sumAbsences}</t>
  </si>
  <si>
    <t>{jsdata.day[207].sumPresences}</t>
  </si>
  <si>
    <t>{jsdata.day[208].target}</t>
  </si>
  <si>
    <t>{jsdata.day[208].sumAbsences}</t>
  </si>
  <si>
    <t>{jsdata.day[208].sumPresences}</t>
  </si>
  <si>
    <t>{jsdata.day[209].target}</t>
  </si>
  <si>
    <t>{jsdata.day[209].sumAbsences}</t>
  </si>
  <si>
    <t>{jsdata.day[209].sumPresences}</t>
  </si>
  <si>
    <t>{jsdata.day[210].target}</t>
  </si>
  <si>
    <t>{jsdata.day[210].sumAbsences}</t>
  </si>
  <si>
    <t>{jsdata.day[210].sumPresences}</t>
  </si>
  <si>
    <t>{jsdata.day[211].target}</t>
  </si>
  <si>
    <t>{jsdata.day[211].sumAbsences}</t>
  </si>
  <si>
    <t>{jsdata.day[211].sumPresences}</t>
  </si>
  <si>
    <t>{jsdata.day[212].target}</t>
  </si>
  <si>
    <t>{jsdata.day[212].sumAbsences}</t>
  </si>
  <si>
    <t>{jsdata.day[212].sumPresences}</t>
  </si>
  <si>
    <t>{jsdata.day[213].target}</t>
  </si>
  <si>
    <t>{jsdata.day[213].sumAbsences}</t>
  </si>
  <si>
    <t>{jsdata.day[213].sumPresences}</t>
  </si>
  <si>
    <t>{jsdata.day[214].target}</t>
  </si>
  <si>
    <t>{jsdata.day[214].sumAbsences}</t>
  </si>
  <si>
    <t>{jsdata.day[214].sumPresences}</t>
  </si>
  <si>
    <t>{jsdata.day[215].target}</t>
  </si>
  <si>
    <t>{jsdata.day[215].sumAbsences}</t>
  </si>
  <si>
    <t>{jsdata.day[215].sumPresences}</t>
  </si>
  <si>
    <t>{jsdata.day[216].target}</t>
  </si>
  <si>
    <t>{jsdata.day[216].sumAbsences}</t>
  </si>
  <si>
    <t>{jsdata.day[216].sumPresences}</t>
  </si>
  <si>
    <t>{jsdata.day[217].target}</t>
  </si>
  <si>
    <t>{jsdata.day[217].sumAbsences}</t>
  </si>
  <si>
    <t>{jsdata.day[217].sumPresences}</t>
  </si>
  <si>
    <t>{jsdata.day[218].target}</t>
  </si>
  <si>
    <t>{jsdata.day[218].sumAbsences}</t>
  </si>
  <si>
    <t>{jsdata.day[218].sumPresences}</t>
  </si>
  <si>
    <t>{jsdata.day[219].target}</t>
  </si>
  <si>
    <t>{jsdata.day[219].sumAbsences}</t>
  </si>
  <si>
    <t>{jsdata.day[219].sumPresences}</t>
  </si>
  <si>
    <t>{jsdata.day[220].target}</t>
  </si>
  <si>
    <t>{jsdata.day[220].sumAbsences}</t>
  </si>
  <si>
    <t>{jsdata.day[220].sumPresences}</t>
  </si>
  <si>
    <t>{jsdata.day[221].target}</t>
  </si>
  <si>
    <t>{jsdata.day[221].sumAbsences}</t>
  </si>
  <si>
    <t>{jsdata.day[221].sumPresences}</t>
  </si>
  <si>
    <t>{jsdata.day[222].target}</t>
  </si>
  <si>
    <t>{jsdata.day[222].sumAbsences}</t>
  </si>
  <si>
    <t>{jsdata.day[222].sumPresences}</t>
  </si>
  <si>
    <t>{jsdata.day[223].target}</t>
  </si>
  <si>
    <t>{jsdata.day[223].sumAbsences}</t>
  </si>
  <si>
    <t>{jsdata.day[223].sumPresences}</t>
  </si>
  <si>
    <t>{jsdata.day[224].target}</t>
  </si>
  <si>
    <t>{jsdata.day[224].sumAbsences}</t>
  </si>
  <si>
    <t>{jsdata.day[224].sumPresences}</t>
  </si>
  <si>
    <t>{jsdata.day[225].target}</t>
  </si>
  <si>
    <t>{jsdata.day[225].sumAbsences}</t>
  </si>
  <si>
    <t>{jsdata.day[225].sumPresences}</t>
  </si>
  <si>
    <t>{jsdata.day[226].target}</t>
  </si>
  <si>
    <t>{jsdata.day[226].sumAbsences}</t>
  </si>
  <si>
    <t>{jsdata.day[226].sumPresences}</t>
  </si>
  <si>
    <t>{jsdata.day[227].target}</t>
  </si>
  <si>
    <t>{jsdata.day[227].sumAbsences}</t>
  </si>
  <si>
    <t>{jsdata.day[227].sumPresences}</t>
  </si>
  <si>
    <t>{jsdata.day[228].target}</t>
  </si>
  <si>
    <t>{jsdata.day[228].sumAbsences}</t>
  </si>
  <si>
    <t>{jsdata.day[228].sumPresences}</t>
  </si>
  <si>
    <t>{jsdata.day[229].target}</t>
  </si>
  <si>
    <t>{jsdata.day[229].sumAbsences}</t>
  </si>
  <si>
    <t>{jsdata.day[229].sumPresences}</t>
  </si>
  <si>
    <t>{jsdata.day[230].target}</t>
  </si>
  <si>
    <t>{jsdata.day[230].sumAbsences}</t>
  </si>
  <si>
    <t>{jsdata.day[230].sumPresences}</t>
  </si>
  <si>
    <t>{jsdata.day[231].target}</t>
  </si>
  <si>
    <t>{jsdata.day[231].sumAbsences}</t>
  </si>
  <si>
    <t>{jsdata.day[231].sumPresences}</t>
  </si>
  <si>
    <t>{jsdata.day[232].target}</t>
  </si>
  <si>
    <t>{jsdata.day[232].sumAbsences}</t>
  </si>
  <si>
    <t>{jsdata.day[232].sumPresences}</t>
  </si>
  <si>
    <t>{jsdata.day[233].target}</t>
  </si>
  <si>
    <t>{jsdata.day[233].sumAbsences}</t>
  </si>
  <si>
    <t>{jsdata.day[233].sumPresences}</t>
  </si>
  <si>
    <t>{jsdata.day[234].target}</t>
  </si>
  <si>
    <t>{jsdata.day[234].sumAbsences}</t>
  </si>
  <si>
    <t>{jsdata.day[234].sumPresences}</t>
  </si>
  <si>
    <t>{jsdata.day[235].target}</t>
  </si>
  <si>
    <t>{jsdata.day[235].sumAbsences}</t>
  </si>
  <si>
    <t>{jsdata.day[235].sumPresences}</t>
  </si>
  <si>
    <t>{jsdata.day[236].target}</t>
  </si>
  <si>
    <t>{jsdata.day[236].sumAbsences}</t>
  </si>
  <si>
    <t>{jsdata.day[236].sumPresences}</t>
  </si>
  <si>
    <t>{jsdata.day[237].target}</t>
  </si>
  <si>
    <t>{jsdata.day[237].sumAbsences}</t>
  </si>
  <si>
    <t>{jsdata.day[237].sumPresences}</t>
  </si>
  <si>
    <t>{jsdata.day[238].target}</t>
  </si>
  <si>
    <t>{jsdata.day[238].sumAbsences}</t>
  </si>
  <si>
    <t>{jsdata.day[238].sumPresences}</t>
  </si>
  <si>
    <t>{jsdata.day[239].target}</t>
  </si>
  <si>
    <t>{jsdata.day[239].sumAbsences}</t>
  </si>
  <si>
    <t>{jsdata.day[239].sumPresences}</t>
  </si>
  <si>
    <t>{jsdata.day[240].target}</t>
  </si>
  <si>
    <t>{jsdata.day[240].sumAbsences}</t>
  </si>
  <si>
    <t>{jsdata.day[240].sumPresences}</t>
  </si>
  <si>
    <t>{jsdata.day[241].target}</t>
  </si>
  <si>
    <t>{jsdata.day[241].sumAbsences}</t>
  </si>
  <si>
    <t>{jsdata.day[241].sumPresences}</t>
  </si>
  <si>
    <t>{jsdata.day[242].target}</t>
  </si>
  <si>
    <t>{jsdata.day[242].sumAbsences}</t>
  </si>
  <si>
    <t>{jsdata.day[242].sumPresences}</t>
  </si>
  <si>
    <t>{jsdata.day[243].target}</t>
  </si>
  <si>
    <t>{jsdata.day[243].sumAbsences}</t>
  </si>
  <si>
    <t>{jsdata.day[243].sumPresences}</t>
  </si>
  <si>
    <t>{jsdata.day[244].target}</t>
  </si>
  <si>
    <t>{jsdata.day[244].sumAbsences}</t>
  </si>
  <si>
    <t>{jsdata.day[244].sumPresences}</t>
  </si>
  <si>
    <t>{jsdata.day[245].target}</t>
  </si>
  <si>
    <t>{jsdata.day[245].sumAbsences}</t>
  </si>
  <si>
    <t>{jsdata.day[245].sumPresences}</t>
  </si>
  <si>
    <t>{jsdata.day[246].target}</t>
  </si>
  <si>
    <t>{jsdata.day[246].sumAbsences}</t>
  </si>
  <si>
    <t>{jsdata.day[246].sumPresences}</t>
  </si>
  <si>
    <t>{jsdata.day[247].target}</t>
  </si>
  <si>
    <t>{jsdata.day[247].sumAbsences}</t>
  </si>
  <si>
    <t>{jsdata.day[247].sumPresences}</t>
  </si>
  <si>
    <t>{jsdata.day[248].target}</t>
  </si>
  <si>
    <t>{jsdata.day[248].sumAbsences}</t>
  </si>
  <si>
    <t>{jsdata.day[248].sumPresences}</t>
  </si>
  <si>
    <t>{jsdata.day[249].target}</t>
  </si>
  <si>
    <t>{jsdata.day[249].sumAbsences}</t>
  </si>
  <si>
    <t>{jsdata.day[249].sumPresences}</t>
  </si>
  <si>
    <t>{jsdata.day[250].target}</t>
  </si>
  <si>
    <t>{jsdata.day[250].sumAbsences}</t>
  </si>
  <si>
    <t>{jsdata.day[250].sumPresences}</t>
  </si>
  <si>
    <t>{jsdata.day[251].target}</t>
  </si>
  <si>
    <t>{jsdata.day[251].sumAbsences}</t>
  </si>
  <si>
    <t>{jsdata.day[251].sumPresences}</t>
  </si>
  <si>
    <t>{jsdata.day[252].target}</t>
  </si>
  <si>
    <t>{jsdata.day[252].sumAbsences}</t>
  </si>
  <si>
    <t>{jsdata.day[252].sumPresences}</t>
  </si>
  <si>
    <t>{jsdata.day[253].target}</t>
  </si>
  <si>
    <t>{jsdata.day[253].sumAbsences}</t>
  </si>
  <si>
    <t>{jsdata.day[253].sumPresences}</t>
  </si>
  <si>
    <t>{jsdata.day[254].target}</t>
  </si>
  <si>
    <t>{jsdata.day[254].sumAbsences}</t>
  </si>
  <si>
    <t>{jsdata.day[254].sumPresences}</t>
  </si>
  <si>
    <t>{jsdata.day[255].target}</t>
  </si>
  <si>
    <t>{jsdata.day[255].sumAbsences}</t>
  </si>
  <si>
    <t>{jsdata.day[255].sumPresences}</t>
  </si>
  <si>
    <t>{jsdata.day[256].target}</t>
  </si>
  <si>
    <t>{jsdata.day[256].sumAbsences}</t>
  </si>
  <si>
    <t>{jsdata.day[256].sumPresences}</t>
  </si>
  <si>
    <t>{jsdata.day[257].target}</t>
  </si>
  <si>
    <t>{jsdata.day[257].sumAbsences}</t>
  </si>
  <si>
    <t>{jsdata.day[257].sumPresences}</t>
  </si>
  <si>
    <t>{jsdata.day[258].target}</t>
  </si>
  <si>
    <t>{jsdata.day[258].sumAbsences}</t>
  </si>
  <si>
    <t>{jsdata.day[258].sumPresences}</t>
  </si>
  <si>
    <t>{jsdata.day[259].target}</t>
  </si>
  <si>
    <t>{jsdata.day[259].sumAbsences}</t>
  </si>
  <si>
    <t>{jsdata.day[259].sumPresences}</t>
  </si>
  <si>
    <t>{jsdata.day[260].target}</t>
  </si>
  <si>
    <t>{jsdata.day[260].sumAbsences}</t>
  </si>
  <si>
    <t>{jsdata.day[260].sumPresences}</t>
  </si>
  <si>
    <t>{jsdata.day[261].target}</t>
  </si>
  <si>
    <t>{jsdata.day[261].sumAbsences}</t>
  </si>
  <si>
    <t>{jsdata.day[261].sumPresences}</t>
  </si>
  <si>
    <t>{jsdata.day[262].target}</t>
  </si>
  <si>
    <t>{jsdata.day[262].sumAbsences}</t>
  </si>
  <si>
    <t>{jsdata.day[262].sumPresences}</t>
  </si>
  <si>
    <t>{jsdata.day[263].target}</t>
  </si>
  <si>
    <t>{jsdata.day[263].sumAbsences}</t>
  </si>
  <si>
    <t>{jsdata.day[263].sumPresences}</t>
  </si>
  <si>
    <t>{jsdata.day[264].target}</t>
  </si>
  <si>
    <t>{jsdata.day[264].sumAbsences}</t>
  </si>
  <si>
    <t>{jsdata.day[264].sumPresences}</t>
  </si>
  <si>
    <t>{jsdata.day[265].target}</t>
  </si>
  <si>
    <t>{jsdata.day[265].sumAbsences}</t>
  </si>
  <si>
    <t>{jsdata.day[265].sumPresences}</t>
  </si>
  <si>
    <t>{jsdata.day[266].target}</t>
  </si>
  <si>
    <t>{jsdata.day[266].sumAbsences}</t>
  </si>
  <si>
    <t>{jsdata.day[266].sumPresences}</t>
  </si>
  <si>
    <t>{jsdata.day[267].target}</t>
  </si>
  <si>
    <t>{jsdata.day[267].sumAbsences}</t>
  </si>
  <si>
    <t>{jsdata.day[267].sumPresences}</t>
  </si>
  <si>
    <t>{jsdata.day[268].target}</t>
  </si>
  <si>
    <t>{jsdata.day[268].sumAbsences}</t>
  </si>
  <si>
    <t>{jsdata.day[268].sumPresences}</t>
  </si>
  <si>
    <t>{jsdata.day[269].target}</t>
  </si>
  <si>
    <t>{jsdata.day[269].sumAbsences}</t>
  </si>
  <si>
    <t>{jsdata.day[269].sumPresences}</t>
  </si>
  <si>
    <t>{jsdata.day[270].target}</t>
  </si>
  <si>
    <t>{jsdata.day[270].sumAbsences}</t>
  </si>
  <si>
    <t>{jsdata.day[270].sumPresences}</t>
  </si>
  <si>
    <t>{jsdata.day[271].target}</t>
  </si>
  <si>
    <t>{jsdata.day[271].sumAbsences}</t>
  </si>
  <si>
    <t>{jsdata.day[271].sumPresences}</t>
  </si>
  <si>
    <t>{jsdata.day[272].target}</t>
  </si>
  <si>
    <t>{jsdata.day[272].sumAbsences}</t>
  </si>
  <si>
    <t>{jsdata.day[272].sumPresences}</t>
  </si>
  <si>
    <t>{jsdata.day[273].target}</t>
  </si>
  <si>
    <t>{jsdata.day[273].sumAbsences}</t>
  </si>
  <si>
    <t>{jsdata.day[273].sumPresences}</t>
  </si>
  <si>
    <t>{jsdata.day[274].target}</t>
  </si>
  <si>
    <t>{jsdata.day[274].sumAbsences}</t>
  </si>
  <si>
    <t>{jsdata.day[274].sumPresences}</t>
  </si>
  <si>
    <t>{jsdata.day[275].target}</t>
  </si>
  <si>
    <t>{jsdata.day[275].sumAbsences}</t>
  </si>
  <si>
    <t>{jsdata.day[275].sumPresences}</t>
  </si>
  <si>
    <t>{jsdata.day[276].target}</t>
  </si>
  <si>
    <t>{jsdata.day[276].sumAbsences}</t>
  </si>
  <si>
    <t>{jsdata.day[276].sumPresences}</t>
  </si>
  <si>
    <t>{jsdata.day[277].target}</t>
  </si>
  <si>
    <t>{jsdata.day[277].sumAbsences}</t>
  </si>
  <si>
    <t>{jsdata.day[277].sumPresences}</t>
  </si>
  <si>
    <t>{jsdata.day[278].target}</t>
  </si>
  <si>
    <t>{jsdata.day[278].sumAbsences}</t>
  </si>
  <si>
    <t>{jsdata.day[278].sumPresences}</t>
  </si>
  <si>
    <t>{jsdata.day[279].target}</t>
  </si>
  <si>
    <t>{jsdata.day[279].sumAbsences}</t>
  </si>
  <si>
    <t>{jsdata.day[279].sumPresences}</t>
  </si>
  <si>
    <t>{jsdata.day[280].target}</t>
  </si>
  <si>
    <t>{jsdata.day[280].sumAbsences}</t>
  </si>
  <si>
    <t>{jsdata.day[280].sumPresences}</t>
  </si>
  <si>
    <t>{jsdata.day[281].target}</t>
  </si>
  <si>
    <t>{jsdata.day[281].sumAbsences}</t>
  </si>
  <si>
    <t>{jsdata.day[281].sumPresences}</t>
  </si>
  <si>
    <t>{jsdata.day[282].target}</t>
  </si>
  <si>
    <t>{jsdata.day[282].sumAbsences}</t>
  </si>
  <si>
    <t>{jsdata.day[282].sumPresences}</t>
  </si>
  <si>
    <t>{jsdata.day[283].target}</t>
  </si>
  <si>
    <t>{jsdata.day[283].sumAbsences}</t>
  </si>
  <si>
    <t>{jsdata.day[283].sumPresences}</t>
  </si>
  <si>
    <t>{jsdata.day[284].target}</t>
  </si>
  <si>
    <t>{jsdata.day[284].sumAbsences}</t>
  </si>
  <si>
    <t>{jsdata.day[284].sumPresences}</t>
  </si>
  <si>
    <t>{jsdata.day[285].target}</t>
  </si>
  <si>
    <t>{jsdata.day[285].sumAbsences}</t>
  </si>
  <si>
    <t>{jsdata.day[285].sumPresences}</t>
  </si>
  <si>
    <t>{jsdata.day[286].target}</t>
  </si>
  <si>
    <t>{jsdata.day[286].sumAbsences}</t>
  </si>
  <si>
    <t>{jsdata.day[286].sumPresences}</t>
  </si>
  <si>
    <t>{jsdata.day[287].target}</t>
  </si>
  <si>
    <t>{jsdata.day[287].sumAbsences}</t>
  </si>
  <si>
    <t>{jsdata.day[287].sumPresences}</t>
  </si>
  <si>
    <t>{jsdata.day[288].target}</t>
  </si>
  <si>
    <t>{jsdata.day[288].sumAbsences}</t>
  </si>
  <si>
    <t>{jsdata.day[288].sumPresences}</t>
  </si>
  <si>
    <t>{jsdata.day[289].target}</t>
  </si>
  <si>
    <t>{jsdata.day[289].sumAbsences}</t>
  </si>
  <si>
    <t>{jsdata.day[289].sumPresences}</t>
  </si>
  <si>
    <t>{jsdata.day[290].target}</t>
  </si>
  <si>
    <t>{jsdata.day[290].sumAbsences}</t>
  </si>
  <si>
    <t>{jsdata.day[290].sumPresences}</t>
  </si>
  <si>
    <t>{jsdata.day[291].target}</t>
  </si>
  <si>
    <t>{jsdata.day[291].sumAbsences}</t>
  </si>
  <si>
    <t>{jsdata.day[291].sumPresences}</t>
  </si>
  <si>
    <t>{jsdata.day[292].target}</t>
  </si>
  <si>
    <t>{jsdata.day[292].sumAbsences}</t>
  </si>
  <si>
    <t>{jsdata.day[292].sumPresences}</t>
  </si>
  <si>
    <t>{jsdata.day[293].target}</t>
  </si>
  <si>
    <t>{jsdata.day[293].sumAbsences}</t>
  </si>
  <si>
    <t>{jsdata.day[293].sumPresences}</t>
  </si>
  <si>
    <t>{jsdata.day[294].target}</t>
  </si>
  <si>
    <t>{jsdata.day[294].sumAbsences}</t>
  </si>
  <si>
    <t>{jsdata.day[294].sumPresences}</t>
  </si>
  <si>
    <t>{jsdata.day[295].target}</t>
  </si>
  <si>
    <t>{jsdata.day[295].sumAbsences}</t>
  </si>
  <si>
    <t>{jsdata.day[295].sumPresences}</t>
  </si>
  <si>
    <t>{jsdata.day[296].target}</t>
  </si>
  <si>
    <t>{jsdata.day[296].sumAbsences}</t>
  </si>
  <si>
    <t>{jsdata.day[296].sumPresences}</t>
  </si>
  <si>
    <t>{jsdata.day[297].target}</t>
  </si>
  <si>
    <t>{jsdata.day[297].sumAbsences}</t>
  </si>
  <si>
    <t>{jsdata.day[297].sumPresences}</t>
  </si>
  <si>
    <t>{jsdata.day[298].target}</t>
  </si>
  <si>
    <t>{jsdata.day[298].sumAbsences}</t>
  </si>
  <si>
    <t>{jsdata.day[298].sumPresences}</t>
  </si>
  <si>
    <t>{jsdata.day[299].target}</t>
  </si>
  <si>
    <t>{jsdata.day[299].sumAbsences}</t>
  </si>
  <si>
    <t>{jsdata.day[299].sumPresences}</t>
  </si>
  <si>
    <t>{jsdata.day[300].target}</t>
  </si>
  <si>
    <t>{jsdata.day[300].sumAbsences}</t>
  </si>
  <si>
    <t>{jsdata.day[300].sumPresences}</t>
  </si>
  <si>
    <t>{jsdata.day[301].target}</t>
  </si>
  <si>
    <t>{jsdata.day[301].sumAbsences}</t>
  </si>
  <si>
    <t>{jsdata.day[301].sumPresences}</t>
  </si>
  <si>
    <t>{jsdata.day[302].target}</t>
  </si>
  <si>
    <t>{jsdata.day[302].sumAbsences}</t>
  </si>
  <si>
    <t>{jsdata.day[302].sumPresences}</t>
  </si>
  <si>
    <t>{jsdata.day[303].target}</t>
  </si>
  <si>
    <t>{jsdata.day[303].sumAbsences}</t>
  </si>
  <si>
    <t>{jsdata.day[303].sumPresences}</t>
  </si>
  <si>
    <t>{jsdata.day[304].target}</t>
  </si>
  <si>
    <t>{jsdata.day[304].sumAbsences}</t>
  </si>
  <si>
    <t>{jsdata.day[304].sumPresences}</t>
  </si>
  <si>
    <t>{jsdata.day[305].target}</t>
  </si>
  <si>
    <t>{jsdata.day[305].sumAbsences}</t>
  </si>
  <si>
    <t>{jsdata.day[305].sumPresences}</t>
  </si>
  <si>
    <t>{jsdata.day[306].target}</t>
  </si>
  <si>
    <t>{jsdata.day[306].sumAbsences}</t>
  </si>
  <si>
    <t>{jsdata.day[306].sumPresences}</t>
  </si>
  <si>
    <t>{jsdata.day[307].target}</t>
  </si>
  <si>
    <t>{jsdata.day[307].sumAbsences}</t>
  </si>
  <si>
    <t>{jsdata.day[307].sumPresences}</t>
  </si>
  <si>
    <t>{jsdata.day[308].target}</t>
  </si>
  <si>
    <t>{jsdata.day[308].sumAbsences}</t>
  </si>
  <si>
    <t>{jsdata.day[308].sumPresences}</t>
  </si>
  <si>
    <t>{jsdata.day[309].target}</t>
  </si>
  <si>
    <t>{jsdata.day[309].sumAbsences}</t>
  </si>
  <si>
    <t>{jsdata.day[309].sumPresences}</t>
  </si>
  <si>
    <t>{jsdata.day[310].target}</t>
  </si>
  <si>
    <t>{jsdata.day[310].sumAbsences}</t>
  </si>
  <si>
    <t>{jsdata.day[310].sumPresences}</t>
  </si>
  <si>
    <t>{jsdata.day[311].target}</t>
  </si>
  <si>
    <t>{jsdata.day[311].sumAbsences}</t>
  </si>
  <si>
    <t>{jsdata.day[311].sumPresences}</t>
  </si>
  <si>
    <t>{jsdata.day[312].target}</t>
  </si>
  <si>
    <t>{jsdata.day[312].sumAbsences}</t>
  </si>
  <si>
    <t>{jsdata.day[312].sumPresences}</t>
  </si>
  <si>
    <t>{jsdata.day[313].target}</t>
  </si>
  <si>
    <t>{jsdata.day[313].sumAbsences}</t>
  </si>
  <si>
    <t>{jsdata.day[313].sumPresences}</t>
  </si>
  <si>
    <t>{jsdata.day[314].target}</t>
  </si>
  <si>
    <t>{jsdata.day[314].sumAbsences}</t>
  </si>
  <si>
    <t>{jsdata.day[314].sumPresences}</t>
  </si>
  <si>
    <t>{jsdata.day[315].target}</t>
  </si>
  <si>
    <t>{jsdata.day[315].sumAbsences}</t>
  </si>
  <si>
    <t>{jsdata.day[315].sumPresences}</t>
  </si>
  <si>
    <t>{jsdata.day[316].target}</t>
  </si>
  <si>
    <t>{jsdata.day[316].sumAbsences}</t>
  </si>
  <si>
    <t>{jsdata.day[316].sumPresences}</t>
  </si>
  <si>
    <t>{jsdata.day[317].target}</t>
  </si>
  <si>
    <t>{jsdata.day[317].sumAbsences}</t>
  </si>
  <si>
    <t>{jsdata.day[317].sumPresences}</t>
  </si>
  <si>
    <t>{jsdata.day[318].target}</t>
  </si>
  <si>
    <t>{jsdata.day[318].sumAbsences}</t>
  </si>
  <si>
    <t>{jsdata.day[318].sumPresences}</t>
  </si>
  <si>
    <t>{jsdata.day[319].target}</t>
  </si>
  <si>
    <t>{jsdata.day[319].sumAbsences}</t>
  </si>
  <si>
    <t>{jsdata.day[319].sumPresences}</t>
  </si>
  <si>
    <t>{jsdata.day[320].target}</t>
  </si>
  <si>
    <t>{jsdata.day[320].sumAbsences}</t>
  </si>
  <si>
    <t>{jsdata.day[320].sumPresences}</t>
  </si>
  <si>
    <t>{jsdata.day[321].target}</t>
  </si>
  <si>
    <t>{jsdata.day[321].sumAbsences}</t>
  </si>
  <si>
    <t>{jsdata.day[321].sumPresences}</t>
  </si>
  <si>
    <t>{jsdata.day[322].target}</t>
  </si>
  <si>
    <t>{jsdata.day[322].sumAbsences}</t>
  </si>
  <si>
    <t>{jsdata.day[322].sumPresences}</t>
  </si>
  <si>
    <t>{jsdata.day[323].target}</t>
  </si>
  <si>
    <t>{jsdata.day[323].sumAbsences}</t>
  </si>
  <si>
    <t>{jsdata.day[323].sumPresences}</t>
  </si>
  <si>
    <t>{jsdata.day[324].target}</t>
  </si>
  <si>
    <t>{jsdata.day[324].sumAbsences}</t>
  </si>
  <si>
    <t>{jsdata.day[324].sumPresences}</t>
  </si>
  <si>
    <t>{jsdata.day[325].target}</t>
  </si>
  <si>
    <t>{jsdata.day[325].sumAbsences}</t>
  </si>
  <si>
    <t>{jsdata.day[325].sumPresences}</t>
  </si>
  <si>
    <t>{jsdata.day[326].target}</t>
  </si>
  <si>
    <t>{jsdata.day[326].sumAbsences}</t>
  </si>
  <si>
    <t>{jsdata.day[326].sumPresences}</t>
  </si>
  <si>
    <t>{jsdata.day[327].target}</t>
  </si>
  <si>
    <t>{jsdata.day[327].sumAbsences}</t>
  </si>
  <si>
    <t>{jsdata.day[327].sumPresences}</t>
  </si>
  <si>
    <t>{jsdata.day[328].target}</t>
  </si>
  <si>
    <t>{jsdata.day[328].sumAbsences}</t>
  </si>
  <si>
    <t>{jsdata.day[328].sumPresences}</t>
  </si>
  <si>
    <t>{jsdata.day[329].target}</t>
  </si>
  <si>
    <t>{jsdata.day[329].sumAbsences}</t>
  </si>
  <si>
    <t>{jsdata.day[329].sumPresences}</t>
  </si>
  <si>
    <t>{jsdata.day[330].target}</t>
  </si>
  <si>
    <t>{jsdata.day[330].sumAbsences}</t>
  </si>
  <si>
    <t>{jsdata.day[330].sumPresences}</t>
  </si>
  <si>
    <t>{jsdata.day[331].target}</t>
  </si>
  <si>
    <t>{jsdata.day[331].sumAbsences}</t>
  </si>
  <si>
    <t>{jsdata.day[331].sumPresences}</t>
  </si>
  <si>
    <t>{jsdata.day[332].target}</t>
  </si>
  <si>
    <t>{jsdata.day[332].sumAbsences}</t>
  </si>
  <si>
    <t>{jsdata.day[332].sumPresences}</t>
  </si>
  <si>
    <t>{jsdata.day[333].target}</t>
  </si>
  <si>
    <t>{jsdata.day[333].sumAbsences}</t>
  </si>
  <si>
    <t>{jsdata.day[333].sumPresences}</t>
  </si>
  <si>
    <t>{jsdata.day[334].target}</t>
  </si>
  <si>
    <t>{jsdata.day[334].sumAbsences}</t>
  </si>
  <si>
    <t>{jsdata.day[334].sumPresences}</t>
  </si>
  <si>
    <t>{jsdata.day[335].target}</t>
  </si>
  <si>
    <t>{jsdata.day[335].sumAbsences}</t>
  </si>
  <si>
    <t>{jsdata.day[335].sumPresences}</t>
  </si>
  <si>
    <t>{jsdata.day[336].target}</t>
  </si>
  <si>
    <t>{jsdata.day[336].sumAbsences}</t>
  </si>
  <si>
    <t>{jsdata.day[336].sumPresences}</t>
  </si>
  <si>
    <t>{jsdata.day[337].target}</t>
  </si>
  <si>
    <t>{jsdata.day[337].sumAbsences}</t>
  </si>
  <si>
    <t>{jsdata.day[337].sumPresences}</t>
  </si>
  <si>
    <t>{jsdata.day[338].target}</t>
  </si>
  <si>
    <t>{jsdata.day[338].sumAbsences}</t>
  </si>
  <si>
    <t>{jsdata.day[338].sumPresences}</t>
  </si>
  <si>
    <t>{jsdata.day[339].target}</t>
  </si>
  <si>
    <t>{jsdata.day[339].sumAbsences}</t>
  </si>
  <si>
    <t>{jsdata.day[339].sumPresences}</t>
  </si>
  <si>
    <t>{jsdata.day[340].target}</t>
  </si>
  <si>
    <t>{jsdata.day[340].sumAbsences}</t>
  </si>
  <si>
    <t>{jsdata.day[340].sumPresences}</t>
  </si>
  <si>
    <t>{jsdata.day[341].target}</t>
  </si>
  <si>
    <t>{jsdata.day[341].sumAbsences}</t>
  </si>
  <si>
    <t>{jsdata.day[341].sumPresences}</t>
  </si>
  <si>
    <t>{jsdata.day[342].target}</t>
  </si>
  <si>
    <t>{jsdata.day[342].sumAbsences}</t>
  </si>
  <si>
    <t>{jsdata.day[342].sumPresences}</t>
  </si>
  <si>
    <t>{jsdata.day[343].target}</t>
  </si>
  <si>
    <t>{jsdata.day[343].sumAbsences}</t>
  </si>
  <si>
    <t>{jsdata.day[343].sumPresences}</t>
  </si>
  <si>
    <t>{jsdata.day[344].target}</t>
  </si>
  <si>
    <t>{jsdata.day[344].sumAbsences}</t>
  </si>
  <si>
    <t>{jsdata.day[344].sumPresences}</t>
  </si>
  <si>
    <t>{jsdata.day[345].target}</t>
  </si>
  <si>
    <t>{jsdata.day[345].sumAbsences}</t>
  </si>
  <si>
    <t>{jsdata.day[345].sumPresences}</t>
  </si>
  <si>
    <t>{jsdata.day[346].target}</t>
  </si>
  <si>
    <t>{jsdata.day[346].sumAbsences}</t>
  </si>
  <si>
    <t>{jsdata.day[346].sumPresences}</t>
  </si>
  <si>
    <t>{jsdata.day[347].target}</t>
  </si>
  <si>
    <t>{jsdata.day[347].sumAbsences}</t>
  </si>
  <si>
    <t>{jsdata.day[347].sumPresences}</t>
  </si>
  <si>
    <t>{jsdata.day[348].target}</t>
  </si>
  <si>
    <t>{jsdata.day[348].sumAbsences}</t>
  </si>
  <si>
    <t>{jsdata.day[348].sumPresences}</t>
  </si>
  <si>
    <t>{jsdata.day[349].target}</t>
  </si>
  <si>
    <t>{jsdata.day[349].sumAbsences}</t>
  </si>
  <si>
    <t>{jsdata.day[349].sumPresences}</t>
  </si>
  <si>
    <t>{jsdata.day[350].target}</t>
  </si>
  <si>
    <t>{jsdata.day[350].sumAbsences}</t>
  </si>
  <si>
    <t>{jsdata.day[350].sumPresences}</t>
  </si>
  <si>
    <t>{jsdata.day[351].target}</t>
  </si>
  <si>
    <t>{jsdata.day[351].sumAbsences}</t>
  </si>
  <si>
    <t>{jsdata.day[351].sumPresences}</t>
  </si>
  <si>
    <t>{jsdata.day[352].target}</t>
  </si>
  <si>
    <t>{jsdata.day[352].sumAbsences}</t>
  </si>
  <si>
    <t>{jsdata.day[352].sumPresences}</t>
  </si>
  <si>
    <t>{jsdata.day[353].target}</t>
  </si>
  <si>
    <t>{jsdata.day[353].sumAbsences}</t>
  </si>
  <si>
    <t>{jsdata.day[353].sumPresences}</t>
  </si>
  <si>
    <t>{jsdata.day[354].target}</t>
  </si>
  <si>
    <t>{jsdata.day[354].sumAbsences}</t>
  </si>
  <si>
    <t>{jsdata.day[354].sumPresences}</t>
  </si>
  <si>
    <t>{jsdata.day[355].target}</t>
  </si>
  <si>
    <t>{jsdata.day[355].sumAbsences}</t>
  </si>
  <si>
    <t>{jsdata.day[355].sumPresences}</t>
  </si>
  <si>
    <t>{jsdata.day[356].target}</t>
  </si>
  <si>
    <t>{jsdata.day[356].sumAbsences}</t>
  </si>
  <si>
    <t>{jsdata.day[356].sumPresences}</t>
  </si>
  <si>
    <t>{jsdata.day[357].target}</t>
  </si>
  <si>
    <t>{jsdata.day[357].sumAbsences}</t>
  </si>
  <si>
    <t>{jsdata.day[357].sumPresences}</t>
  </si>
  <si>
    <t>{jsdata.day[358].target}</t>
  </si>
  <si>
    <t>{jsdata.day[358].sumAbsences}</t>
  </si>
  <si>
    <t>{jsdata.day[358].sumPresences}</t>
  </si>
  <si>
    <t>{jsdata.day[359].target}</t>
  </si>
  <si>
    <t>{jsdata.day[359].sumAbsences}</t>
  </si>
  <si>
    <t>{jsdata.day[359].sumPresences}</t>
  </si>
  <si>
    <t>{jsdata.day[360].target}</t>
  </si>
  <si>
    <t>{jsdata.day[360].sumAbsences}</t>
  </si>
  <si>
    <t>{jsdata.day[360].sumPresences}</t>
  </si>
  <si>
    <t>{jsdata.day[361].target}</t>
  </si>
  <si>
    <t>{jsdata.day[361].sumAbsences}</t>
  </si>
  <si>
    <t>{jsdata.day[361].sumPresences}</t>
  </si>
  <si>
    <t>{jsdata.day[362].target}</t>
  </si>
  <si>
    <t>{jsdata.day[362].sumAbsences}</t>
  </si>
  <si>
    <t>{jsdata.day[362].sumPresences}</t>
  </si>
  <si>
    <t>{jsdata.day[363].target}</t>
  </si>
  <si>
    <t>{jsdata.day[363].sumAbsences}</t>
  </si>
  <si>
    <t>{jsdata.day[363].sumPresences}</t>
  </si>
  <si>
    <t>{jsdata.day[364].target}</t>
  </si>
  <si>
    <t>{jsdata.day[364].sumAbsences}</t>
  </si>
  <si>
    <t>{jsdata.day[364].sumPresences}</t>
  </si>
  <si>
    <t>{jsdata.day[365].target}</t>
  </si>
  <si>
    <t>{jsdata.day[365].sumAbsences}</t>
  </si>
  <si>
    <t>{jsdata.day[365].sumPresences}</t>
  </si>
  <si>
    <t>{jsdata.day[366].target}</t>
  </si>
  <si>
    <t>{jsdata.day[366].sumAbsences}</t>
  </si>
  <si>
    <t>{jsdata.day[366].sumPresences}</t>
  </si>
  <si>
    <t>{jsdata.day[367].target}</t>
  </si>
  <si>
    <t>{jsdata.day[367].sumAbsences}</t>
  </si>
  <si>
    <t>{jsdata.day[367].sumPresences}</t>
  </si>
  <si>
    <t>{jsdata.day[368].target}</t>
  </si>
  <si>
    <t>{jsdata.day[368].sumAbsences}</t>
  </si>
  <si>
    <t>{jsdata.day[368].sumPresences}</t>
  </si>
  <si>
    <t>{jsdata.day[369].target}</t>
  </si>
  <si>
    <t>{jsdata.day[369].sumAbsences}</t>
  </si>
  <si>
    <t>{jsdata.day[369].sumPresences}</t>
  </si>
  <si>
    <t>{jsdata.day[370].target}</t>
  </si>
  <si>
    <t>{jsdata.day[370].sumAbsences}</t>
  </si>
  <si>
    <t>{jsdata.day[370].sumPresences}</t>
  </si>
  <si>
    <t>{jsdata.day[371].target}</t>
  </si>
  <si>
    <t>{jsdata.day[371].sumAbsences}</t>
  </si>
  <si>
    <t>{jsdata.day[371].sumPresences}</t>
  </si>
  <si>
    <t>{jsdata.day[372].target}</t>
  </si>
  <si>
    <t>{jsdata.day[372].sumAbsences}</t>
  </si>
  <si>
    <t>{jsdata.day[372].sumPresences}</t>
  </si>
  <si>
    <t>{jsdata.day[373].target}</t>
  </si>
  <si>
    <t>{jsdata.day[373].sumAbsences}</t>
  </si>
  <si>
    <t>{jsdata.day[373].sumPresences}</t>
  </si>
  <si>
    <t>{jsdata.day[374].target}</t>
  </si>
  <si>
    <t>{jsdata.day[374].sumAbsences}</t>
  </si>
  <si>
    <t>{jsdata.day[374].sumPresences}</t>
  </si>
  <si>
    <t>{jsdata.day[375].target}</t>
  </si>
  <si>
    <t>{jsdata.day[375].sumAbsences}</t>
  </si>
  <si>
    <t>{jsdata.day[375].sumPresences}</t>
  </si>
  <si>
    <t>{jsdata.day[376].target}</t>
  </si>
  <si>
    <t>{jsdata.day[376].sumAbsences}</t>
  </si>
  <si>
    <t>{jsdata.day[376].sumPresences}</t>
  </si>
  <si>
    <t>{jsdata.day[377].target}</t>
  </si>
  <si>
    <t>{jsdata.day[377].sumAbsences}</t>
  </si>
  <si>
    <t>{jsdata.day[377].sumPresences}</t>
  </si>
  <si>
    <t>{jsdata.day[378].target}</t>
  </si>
  <si>
    <t>{jsdata.day[378].sumAbsences}</t>
  </si>
  <si>
    <t>{jsdata.day[378].sumPresences}</t>
  </si>
  <si>
    <t>{jsdata.day[379].target}</t>
  </si>
  <si>
    <t>{jsdata.day[379].sumAbsences}</t>
  </si>
  <si>
    <t>{jsdata.day[379].sumPresences}</t>
  </si>
  <si>
    <t>{jsdata.day[380].target}</t>
  </si>
  <si>
    <t>{jsdata.day[380].sumAbsences}</t>
  </si>
  <si>
    <t>{jsdata.day[380].sumPresences}</t>
  </si>
  <si>
    <t>{jsdata.day[381].target}</t>
  </si>
  <si>
    <t>{jsdata.day[381].sumAbsences}</t>
  </si>
  <si>
    <t>{jsdata.day[381].sumPresences}</t>
  </si>
  <si>
    <t>{jsdata.day[382].target}</t>
  </si>
  <si>
    <t>{jsdata.day[382].sumAbsences}</t>
  </si>
  <si>
    <t>{jsdata.day[382].sumPresences}</t>
  </si>
  <si>
    <t>{jsdata.day[383].target}</t>
  </si>
  <si>
    <t>{jsdata.day[383].sumAbsences}</t>
  </si>
  <si>
    <t>{jsdata.day[383].sumPresences}</t>
  </si>
  <si>
    <t>{jsdata.day[384].target}</t>
  </si>
  <si>
    <t>{jsdata.day[384].sumAbsences}</t>
  </si>
  <si>
    <t>{jsdata.day[384].sumPresences}</t>
  </si>
  <si>
    <t>{jsdata.day[385].target}</t>
  </si>
  <si>
    <t>{jsdata.day[385].sumAbsences}</t>
  </si>
  <si>
    <t>{jsdata.day[385].sumPresences}</t>
  </si>
  <si>
    <t>{jsdata.day[386].target}</t>
  </si>
  <si>
    <t>{jsdata.day[386].sumAbsences}</t>
  </si>
  <si>
    <t>{jsdata.day[386].sumPresences}</t>
  </si>
  <si>
    <t>{jsdata.day[387].target}</t>
  </si>
  <si>
    <t>{jsdata.day[387].sumAbsences}</t>
  </si>
  <si>
    <t>{jsdata.day[387].sumPresences}</t>
  </si>
  <si>
    <t>{jsdata.day[388].target}</t>
  </si>
  <si>
    <t>{jsdata.day[388].sumAbsences}</t>
  </si>
  <si>
    <t>{jsdata.day[388].sumPresences}</t>
  </si>
  <si>
    <t>{jsdata.day[389].target}</t>
  </si>
  <si>
    <t>{jsdata.day[389].sumAbsences}</t>
  </si>
  <si>
    <t>{jsdata.day[389].sumPresences}</t>
  </si>
  <si>
    <t>{jsdata.day[390].target}</t>
  </si>
  <si>
    <t>{jsdata.day[390].sumAbsences}</t>
  </si>
  <si>
    <t>{jsdata.day[390].sumPresences}</t>
  </si>
  <si>
    <t>{jsdata.day[391].target}</t>
  </si>
  <si>
    <t>{jsdata.day[391].sumAbsences}</t>
  </si>
  <si>
    <t>{jsdata.day[391].sumPresences}</t>
  </si>
  <si>
    <t>{jsdata.day[392].target}</t>
  </si>
  <si>
    <t>{jsdata.day[392].sumAbsences}</t>
  </si>
  <si>
    <t>{jsdata.day[392].sumPresences}</t>
  </si>
  <si>
    <t>{jsdata.day[393].target}</t>
  </si>
  <si>
    <t>{jsdata.day[393].sumAbsences}</t>
  </si>
  <si>
    <t>{jsdata.day[393].sumPresences}</t>
  </si>
  <si>
    <t>{jsdata.day[394].target}</t>
  </si>
  <si>
    <t>{jsdata.day[394].sumAbsences}</t>
  </si>
  <si>
    <t>{jsdata.day[394].sumPresences}</t>
  </si>
  <si>
    <t>{jsdata.day[395].target}</t>
  </si>
  <si>
    <t>{jsdata.day[395].sumAbsences}</t>
  </si>
  <si>
    <t>{jsdata.day[395].sumPresences}</t>
  </si>
  <si>
    <t>{jsdata.day[396].target}</t>
  </si>
  <si>
    <t>{jsdata.day[396].sumAbsences}</t>
  </si>
  <si>
    <t>{jsdata.day[396].sumPresences}</t>
  </si>
  <si>
    <t>{jsdata.day[397].target}</t>
  </si>
  <si>
    <t>{jsdata.day[397].sumAbsences}</t>
  </si>
  <si>
    <t>{jsdata.day[397].sumPresences}</t>
  </si>
  <si>
    <t>{jsdata.day[398].target}</t>
  </si>
  <si>
    <t>{jsdata.day[398].sumAbsences}</t>
  </si>
  <si>
    <t>{jsdata.day[398].sumPresences}</t>
  </si>
  <si>
    <t>{jsdata.day[399].target}</t>
  </si>
  <si>
    <t>{jsdata.day[399].sumAbsences}</t>
  </si>
  <si>
    <t>{jsdata.day[399].sumPresences}</t>
  </si>
  <si>
    <t>{jsdata.day[400].target}</t>
  </si>
  <si>
    <t>{jsdata.day[400].sumAbsences}</t>
  </si>
  <si>
    <t>{jsdata.day[400].sumPresences}</t>
  </si>
  <si>
    <t>{jsdata.day[401].target}</t>
  </si>
  <si>
    <t>{jsdata.day[401].sumAbsences}</t>
  </si>
  <si>
    <t>{jsdata.day[401].sumPresences}</t>
  </si>
  <si>
    <t>{jsdata.day[402].target}</t>
  </si>
  <si>
    <t>{jsdata.day[402].sumAbsences}</t>
  </si>
  <si>
    <t>{jsdata.day[402].sumPresences}</t>
  </si>
  <si>
    <t>{jsdata.day[403].target}</t>
  </si>
  <si>
    <t>{jsdata.day[403].sumAbsences}</t>
  </si>
  <si>
    <t>{jsdata.day[403].sumPresences}</t>
  </si>
  <si>
    <t>{jsdata.day[404].target}</t>
  </si>
  <si>
    <t>{jsdata.day[404].sumAbsences}</t>
  </si>
  <si>
    <t>{jsdata.day[404].sumPresences}</t>
  </si>
  <si>
    <t>{jsdata.day[405].target}</t>
  </si>
  <si>
    <t>{jsdata.day[405].sumAbsences}</t>
  </si>
  <si>
    <t>{jsdata.day[405].sumPresences}</t>
  </si>
  <si>
    <t>{jsdata.day[406].target}</t>
  </si>
  <si>
    <t>{jsdata.day[406].sumAbsences}</t>
  </si>
  <si>
    <t>{jsdata.day[406].sumPresences}</t>
  </si>
  <si>
    <t>{jsdata.day[407].target}</t>
  </si>
  <si>
    <t>{jsdata.day[407].sumAbsences}</t>
  </si>
  <si>
    <t>{jsdata.day[407].sumPresences}</t>
  </si>
  <si>
    <t>{jsdata.day[408].target}</t>
  </si>
  <si>
    <t>{jsdata.day[408].sumAbsences}</t>
  </si>
  <si>
    <t>{jsdata.day[408].sumPresences}</t>
  </si>
  <si>
    <t>{jsdata.day[409].target}</t>
  </si>
  <si>
    <t>{jsdata.day[409].sumAbsences}</t>
  </si>
  <si>
    <t>{jsdata.day[409].sumPresences}</t>
  </si>
  <si>
    <t>{jsdata.day[410].target}</t>
  </si>
  <si>
    <t>{jsdata.day[410].sumAbsences}</t>
  </si>
  <si>
    <t>{jsdata.day[410].sumPresences}</t>
  </si>
  <si>
    <t>{jsdata.day[411].target}</t>
  </si>
  <si>
    <t>{jsdata.day[411].sumAbsences}</t>
  </si>
  <si>
    <t>{jsdata.day[411].sumPresences}</t>
  </si>
  <si>
    <t>{jsdata.day[412].target}</t>
  </si>
  <si>
    <t>{jsdata.day[412].sumAbsences}</t>
  </si>
  <si>
    <t>{jsdata.day[412].sumPresences}</t>
  </si>
  <si>
    <t>{jsdata.day[413].target}</t>
  </si>
  <si>
    <t>{jsdata.day[413].sumAbsences}</t>
  </si>
  <si>
    <t>{jsdata.day[413].sumPresences}</t>
  </si>
  <si>
    <t>{jsdata.day[414].target}</t>
  </si>
  <si>
    <t>{jsdata.day[414].sumAbsences}</t>
  </si>
  <si>
    <t>{jsdata.day[414].sumPresences}</t>
  </si>
  <si>
    <t>{jsdata.day[415].target}</t>
  </si>
  <si>
    <t>{jsdata.day[415].sumAbsences}</t>
  </si>
  <si>
    <t>{jsdata.day[415].sumPresences}</t>
  </si>
  <si>
    <t>{jsdata.day[416].target}</t>
  </si>
  <si>
    <t>{jsdata.day[416].sumAbsences}</t>
  </si>
  <si>
    <t>{jsdata.day[416].sumPresences}</t>
  </si>
  <si>
    <t>{jsdata.day[417].target}</t>
  </si>
  <si>
    <t>{jsdata.day[417].sumAbsences}</t>
  </si>
  <si>
    <t>{jsdata.day[417].sumPresences}</t>
  </si>
  <si>
    <t>{jsdata.day[418].target}</t>
  </si>
  <si>
    <t>{jsdata.day[418].sumAbsences}</t>
  </si>
  <si>
    <t>{jsdata.day[418].sumPresences}</t>
  </si>
  <si>
    <t>{jsdata.day[419].target}</t>
  </si>
  <si>
    <t>{jsdata.day[419].sumAbsences}</t>
  </si>
  <si>
    <t>{jsdata.day[419].sumPresences}</t>
  </si>
  <si>
    <t>{jsdata.day[420].target}</t>
  </si>
  <si>
    <t>{jsdata.day[420].sumAbsences}</t>
  </si>
  <si>
    <t>{jsdata.day[420].sumPresences}</t>
  </si>
  <si>
    <t>{jsdata.day[421].target}</t>
  </si>
  <si>
    <t>{jsdata.day[421].sumAbsences}</t>
  </si>
  <si>
    <t>{jsdata.day[421].sumPresences}</t>
  </si>
  <si>
    <t>{jsdata.day[422].target}</t>
  </si>
  <si>
    <t>{jsdata.day[422].sumAbsences}</t>
  </si>
  <si>
    <t>{jsdata.day[422].sumPresences}</t>
  </si>
  <si>
    <t>{jsdata.day[423].target}</t>
  </si>
  <si>
    <t>{jsdata.day[423].sumAbsences}</t>
  </si>
  <si>
    <t>{jsdata.day[423].sumPresences}</t>
  </si>
  <si>
    <t>{jsdata.day[424].target}</t>
  </si>
  <si>
    <t>{jsdata.day[424].sumAbsences}</t>
  </si>
  <si>
    <t>{jsdata.day[424].sumPresences}</t>
  </si>
  <si>
    <t>{jsdata.day[425].target}</t>
  </si>
  <si>
    <t>{jsdata.day[425].sumAbsences}</t>
  </si>
  <si>
    <t>{jsdata.day[425].sumPresences}</t>
  </si>
  <si>
    <t>{jsdata.day[426].target}</t>
  </si>
  <si>
    <t>{jsdata.day[426].sumAbsences}</t>
  </si>
  <si>
    <t>{jsdata.day[426].sumPresences}</t>
  </si>
  <si>
    <t>{jsdata.day[427].target}</t>
  </si>
  <si>
    <t>{jsdata.day[427].sumAbsences}</t>
  </si>
  <si>
    <t>{jsdata.day[427].sumPresences}</t>
  </si>
  <si>
    <t>{jsdata.day[428].target}</t>
  </si>
  <si>
    <t>{jsdata.day[428].sumAbsences}</t>
  </si>
  <si>
    <t>{jsdata.day[428].sumPresences}</t>
  </si>
  <si>
    <t>{jsdata.day[429].target}</t>
  </si>
  <si>
    <t>{jsdata.day[429].sumAbsences}</t>
  </si>
  <si>
    <t>{jsdata.day[429].sumPresences}</t>
  </si>
  <si>
    <t>{jsdata.day[430].target}</t>
  </si>
  <si>
    <t>{jsdata.day[430].sumAbsences}</t>
  </si>
  <si>
    <t>{jsdata.day[430].sumPresences}</t>
  </si>
  <si>
    <t>{jsdata.day[431].target}</t>
  </si>
  <si>
    <t>{jsdata.day[431].sumAbsences}</t>
  </si>
  <si>
    <t>{jsdata.day[431].sumPresences}</t>
  </si>
  <si>
    <t>{jsdata.day[432].target}</t>
  </si>
  <si>
    <t>{jsdata.day[432].sumAbsences}</t>
  </si>
  <si>
    <t>{jsdata.day[432].sumPresences}</t>
  </si>
  <si>
    <t>{jsdata.day[433].target}</t>
  </si>
  <si>
    <t>{jsdata.day[433].sumAbsences}</t>
  </si>
  <si>
    <t>{jsdata.day[433].sumPresences}</t>
  </si>
  <si>
    <t>{jsdata.day[434].target}</t>
  </si>
  <si>
    <t>{jsdata.day[434].sumAbsences}</t>
  </si>
  <si>
    <t>{jsdata.day[434].sumPresences}</t>
  </si>
  <si>
    <t>{jsdata.day[435].target}</t>
  </si>
  <si>
    <t>{jsdata.day[435].sumAbsences}</t>
  </si>
  <si>
    <t>{jsdata.day[435].sumPresences}</t>
  </si>
  <si>
    <t>{jsdata.day[436].target}</t>
  </si>
  <si>
    <t>{jsdata.day[436].sumAbsences}</t>
  </si>
  <si>
    <t>{jsdata.day[436].sumPresences}</t>
  </si>
  <si>
    <t>{jsdata.day[437].target}</t>
  </si>
  <si>
    <t>{jsdata.day[437].sumAbsences}</t>
  </si>
  <si>
    <t>{jsdata.day[437].sumPresences}</t>
  </si>
  <si>
    <t>{jsdata.day[438].target}</t>
  </si>
  <si>
    <t>{jsdata.day[438].sumAbsences}</t>
  </si>
  <si>
    <t>{jsdata.day[438].sumPresences}</t>
  </si>
  <si>
    <t>{jsdata.day[439].target}</t>
  </si>
  <si>
    <t>{jsdata.day[439].sumAbsences}</t>
  </si>
  <si>
    <t>{jsdata.day[439].sumPresences}</t>
  </si>
  <si>
    <t>{jsdata.day[440].target}</t>
  </si>
  <si>
    <t>{jsdata.day[440].sumAbsences}</t>
  </si>
  <si>
    <t>{jsdata.day[440].sumPresences}</t>
  </si>
  <si>
    <t>{jsdata.day[441].target}</t>
  </si>
  <si>
    <t>{jsdata.day[441].sumAbsences}</t>
  </si>
  <si>
    <t>{jsdata.day[441].sumPresences}</t>
  </si>
  <si>
    <t>{jsdata.day[442].target}</t>
  </si>
  <si>
    <t>{jsdata.day[442].sumAbsences}</t>
  </si>
  <si>
    <t>{jsdata.day[442].sumPresences}</t>
  </si>
  <si>
    <t>{jsdata.day[443].target}</t>
  </si>
  <si>
    <t>{jsdata.day[443].sumAbsences}</t>
  </si>
  <si>
    <t>{jsdata.day[443].sumPresences}</t>
  </si>
  <si>
    <t>{jsdata.day[444].target}</t>
  </si>
  <si>
    <t>{jsdata.day[444].sumAbsences}</t>
  </si>
  <si>
    <t>{jsdata.day[444].sumPresences}</t>
  </si>
  <si>
    <t>{jsdata.day[445].target}</t>
  </si>
  <si>
    <t>{jsdata.day[445].sumAbsences}</t>
  </si>
  <si>
    <t>{jsdata.day[445].sumPresences}</t>
  </si>
  <si>
    <t>{jsdata.day[446].target}</t>
  </si>
  <si>
    <t>{jsdata.day[446].sumAbsences}</t>
  </si>
  <si>
    <t>{jsdata.day[446].sumPresences}</t>
  </si>
  <si>
    <t>{jsdata.day[447].target}</t>
  </si>
  <si>
    <t>{jsdata.day[447].sumAbsences}</t>
  </si>
  <si>
    <t>{jsdata.day[447].sumPresences}</t>
  </si>
  <si>
    <t>{jsdata.day[448].target}</t>
  </si>
  <si>
    <t>{jsdata.day[448].sumAbsences}</t>
  </si>
  <si>
    <t>{jsdata.day[448].sumPresences}</t>
  </si>
  <si>
    <t>{jsdata.day[449].target}</t>
  </si>
  <si>
    <t>{jsdata.day[449].sumAbsences}</t>
  </si>
  <si>
    <t>{jsdata.day[449].sumPresences}</t>
  </si>
  <si>
    <t>{jsdata.day[450].target}</t>
  </si>
  <si>
    <t>{jsdata.day[450].sumAbsences}</t>
  </si>
  <si>
    <t>{jsdata.day[450].sumPresences}</t>
  </si>
  <si>
    <t>{jsdata.day[451].target}</t>
  </si>
  <si>
    <t>{jsdata.day[451].sumAbsences}</t>
  </si>
  <si>
    <t>{jsdata.day[451].sumPresences}</t>
  </si>
  <si>
    <t>{jsdata.day[452].target}</t>
  </si>
  <si>
    <t>{jsdata.day[452].sumAbsences}</t>
  </si>
  <si>
    <t>{jsdata.day[452].sumPresences}</t>
  </si>
  <si>
    <t>{jsdata.day[453].target}</t>
  </si>
  <si>
    <t>{jsdata.day[453].sumAbsences}</t>
  </si>
  <si>
    <t>{jsdata.day[453].sumPresences}</t>
  </si>
  <si>
    <t>{jsdata.day[454].target}</t>
  </si>
  <si>
    <t>{jsdata.day[454].sumAbsences}</t>
  </si>
  <si>
    <t>{jsdata.day[454].sumPresences}</t>
  </si>
  <si>
    <t>{jsdata.day[455].target}</t>
  </si>
  <si>
    <t>{jsdata.day[455].sumAbsences}</t>
  </si>
  <si>
    <t>{jsdata.day[455].sumPresences}</t>
  </si>
  <si>
    <t>{jsdata.day[456].target}</t>
  </si>
  <si>
    <t>{jsdata.day[456].sumAbsences}</t>
  </si>
  <si>
    <t>{jsdata.day[456].sumPresences}</t>
  </si>
  <si>
    <t>{jsdata.day[457].target}</t>
  </si>
  <si>
    <t>{jsdata.day[457].sumAbsences}</t>
  </si>
  <si>
    <t>{jsdata.day[457].sumPresences}</t>
  </si>
  <si>
    <t>{jsdata.day[458].target}</t>
  </si>
  <si>
    <t>{jsdata.day[458].sumAbsences}</t>
  </si>
  <si>
    <t>{jsdata.day[458].sumPresences}</t>
  </si>
  <si>
    <t>{jsdata.day[459].target}</t>
  </si>
  <si>
    <t>{jsdata.day[459].sumAbsences}</t>
  </si>
  <si>
    <t>{jsdata.day[459].sumPresences}</t>
  </si>
  <si>
    <t>{jsdata.day[460].target}</t>
  </si>
  <si>
    <t>{jsdata.day[460].sumAbsences}</t>
  </si>
  <si>
    <t>{jsdata.day[460].sumPresences}</t>
  </si>
  <si>
    <t>{jsdata.day[461].target}</t>
  </si>
  <si>
    <t>{jsdata.day[461].sumAbsences}</t>
  </si>
  <si>
    <t>{jsdata.day[461].sumPresences}</t>
  </si>
  <si>
    <t>{jsdata.day[462].target}</t>
  </si>
  <si>
    <t>{jsdata.day[462].sumAbsences}</t>
  </si>
  <si>
    <t>{jsdata.day[462].sumPresences}</t>
  </si>
  <si>
    <t>{jsdata.day[463].target}</t>
  </si>
  <si>
    <t>{jsdata.day[463].sumAbsences}</t>
  </si>
  <si>
    <t>{jsdata.day[463].sumPresences}</t>
  </si>
  <si>
    <t>{jsdata.day[464].target}</t>
  </si>
  <si>
    <t>{jsdata.day[464].sumAbsences}</t>
  </si>
  <si>
    <t>{jsdata.day[464].sumPresences}</t>
  </si>
  <si>
    <t>{jsdata.day[465].target}</t>
  </si>
  <si>
    <t>{jsdata.day[465].sumAbsences}</t>
  </si>
  <si>
    <t>{jsdata.day[465].sumPresences}</t>
  </si>
  <si>
    <t>{jsdata.day[466].target}</t>
  </si>
  <si>
    <t>{jsdata.day[466].sumAbsences}</t>
  </si>
  <si>
    <t>{jsdata.day[466].sumPresences}</t>
  </si>
  <si>
    <t>{jsdata.day[467].target}</t>
  </si>
  <si>
    <t>{jsdata.day[467].sumAbsences}</t>
  </si>
  <si>
    <t>{jsdata.day[467].sumPresences}</t>
  </si>
  <si>
    <t>{jsdata.day[468].target}</t>
  </si>
  <si>
    <t>{jsdata.day[468].sumAbsences}</t>
  </si>
  <si>
    <t>{jsdata.day[468].sumPresences}</t>
  </si>
  <si>
    <t>{jsdata.day[469].target}</t>
  </si>
  <si>
    <t>{jsdata.day[469].sumAbsences}</t>
  </si>
  <si>
    <t>{jsdata.day[469].sumPresences}</t>
  </si>
  <si>
    <t>{jsdata.day[470].target}</t>
  </si>
  <si>
    <t>{jsdata.day[470].sumAbsences}</t>
  </si>
  <si>
    <t>{jsdata.day[470].sumPresences}</t>
  </si>
  <si>
    <t>{jsdata.day[471].target}</t>
  </si>
  <si>
    <t>{jsdata.day[471].sumAbsences}</t>
  </si>
  <si>
    <t>{jsdata.day[471].sumPresences}</t>
  </si>
  <si>
    <t>{jsdata.day[472].target}</t>
  </si>
  <si>
    <t>{jsdata.day[472].sumAbsences}</t>
  </si>
  <si>
    <t>{jsdata.day[472].sumPresences}</t>
  </si>
  <si>
    <t>{jsdata.day[473].target}</t>
  </si>
  <si>
    <t>{jsdata.day[473].sumAbsences}</t>
  </si>
  <si>
    <t>{jsdata.day[473].sumPresences}</t>
  </si>
  <si>
    <t>{jsdata.day[474].target}</t>
  </si>
  <si>
    <t>{jsdata.day[474].sumAbsences}</t>
  </si>
  <si>
    <t>{jsdata.day[474].sumPresences}</t>
  </si>
  <si>
    <t>{jsdata.day[475].target}</t>
  </si>
  <si>
    <t>{jsdata.day[475].sumAbsences}</t>
  </si>
  <si>
    <t>{jsdata.day[475].sumPresences}</t>
  </si>
  <si>
    <t>{jsdata.day[476].target}</t>
  </si>
  <si>
    <t>{jsdata.day[476].sumAbsences}</t>
  </si>
  <si>
    <t>{jsdata.day[476].sumPresences}</t>
  </si>
  <si>
    <t>{jsdata.day[477].target}</t>
  </si>
  <si>
    <t>{jsdata.day[477].sumAbsences}</t>
  </si>
  <si>
    <t>{jsdata.day[477].sumPresences}</t>
  </si>
  <si>
    <t>{jsdata.day[478].target}</t>
  </si>
  <si>
    <t>{jsdata.day[478].sumAbsences}</t>
  </si>
  <si>
    <t>{jsdata.day[478].sumPresences}</t>
  </si>
  <si>
    <t>{jsdata.day[479].target}</t>
  </si>
  <si>
    <t>{jsdata.day[479].sumAbsences}</t>
  </si>
  <si>
    <t>{jsdata.day[479].sumPresences}</t>
  </si>
  <si>
    <t>{jsdata.day[480].target}</t>
  </si>
  <si>
    <t>{jsdata.day[480].sumAbsences}</t>
  </si>
  <si>
    <t>{jsdata.day[480].sumPresences}</t>
  </si>
  <si>
    <t>{jsdata.day[481].target}</t>
  </si>
  <si>
    <t>{jsdata.day[481].sumAbsences}</t>
  </si>
  <si>
    <t>{jsdata.day[481].sumPresences}</t>
  </si>
  <si>
    <t>{jsdata.day[482].target}</t>
  </si>
  <si>
    <t>{jsdata.day[482].sumAbsences}</t>
  </si>
  <si>
    <t>{jsdata.day[482].sumPresences}</t>
  </si>
  <si>
    <t>{jsdata.day[483].target}</t>
  </si>
  <si>
    <t>{jsdata.day[483].sumAbsences}</t>
  </si>
  <si>
    <t>{jsdata.day[483].sumPresences}</t>
  </si>
  <si>
    <t>{jsdata.day[484].target}</t>
  </si>
  <si>
    <t>{jsdata.day[484].sumAbsences}</t>
  </si>
  <si>
    <t>{jsdata.day[484].sumPresences}</t>
  </si>
  <si>
    <t>{jsdata.day[485].target}</t>
  </si>
  <si>
    <t>{jsdata.day[485].sumAbsences}</t>
  </si>
  <si>
    <t>{jsdata.day[485].sumPresences}</t>
  </si>
  <si>
    <t>{jsdata.day[486].target}</t>
  </si>
  <si>
    <t>{jsdata.day[486].sumAbsences}</t>
  </si>
  <si>
    <t>{jsdata.day[486].sumPresences}</t>
  </si>
  <si>
    <t>{jsdata.day[487].target}</t>
  </si>
  <si>
    <t>{jsdata.day[487].sumAbsences}</t>
  </si>
  <si>
    <t>{jsdata.day[487].sumPresences}</t>
  </si>
  <si>
    <t>{jsdata.day[488].target}</t>
  </si>
  <si>
    <t>{jsdata.day[488].sumAbsences}</t>
  </si>
  <si>
    <t>{jsdata.day[488].sumPresences}</t>
  </si>
  <si>
    <t>{jsdata.day[489].target}</t>
  </si>
  <si>
    <t>{jsdata.day[489].sumAbsences}</t>
  </si>
  <si>
    <t>{jsdata.day[489].sumPresences}</t>
  </si>
  <si>
    <t>{jsdata.day[490].target}</t>
  </si>
  <si>
    <t>{jsdata.day[490].sumAbsences}</t>
  </si>
  <si>
    <t>{jsdata.day[490].sumPresences}</t>
  </si>
  <si>
    <t>{jsdata.day[491].target}</t>
  </si>
  <si>
    <t>{jsdata.day[491].sumAbsences}</t>
  </si>
  <si>
    <t>{jsdata.day[491].sumPresences}</t>
  </si>
  <si>
    <t>{jsdata.day[492].target}</t>
  </si>
  <si>
    <t>{jsdata.day[492].sumAbsences}</t>
  </si>
  <si>
    <t>{jsdata.day[492].sumPresences}</t>
  </si>
  <si>
    <t>{jsdata.day[493].target}</t>
  </si>
  <si>
    <t>{jsdata.day[493].sumAbsences}</t>
  </si>
  <si>
    <t>{jsdata.day[493].sumPresences}</t>
  </si>
  <si>
    <t>{jsdata.day[494].target}</t>
  </si>
  <si>
    <t>{jsdata.day[494].sumAbsences}</t>
  </si>
  <si>
    <t>{jsdata.day[494].sumPresences}</t>
  </si>
  <si>
    <t>{jsdata.day[495].target}</t>
  </si>
  <si>
    <t>{jsdata.day[495].sumAbsences}</t>
  </si>
  <si>
    <t>{jsdata.day[495].sumPresences}</t>
  </si>
  <si>
    <t>{jsdata.day[496].target}</t>
  </si>
  <si>
    <t>{jsdata.day[496].sumAbsences}</t>
  </si>
  <si>
    <t>{jsdata.day[496].sumPresences}</t>
  </si>
  <si>
    <t>{jsdata.day[497].target}</t>
  </si>
  <si>
    <t>{jsdata.day[497].sumAbsences}</t>
  </si>
  <si>
    <t>{jsdata.day[497].sumPresences}</t>
  </si>
  <si>
    <t>{jsdata.day[498].target}</t>
  </si>
  <si>
    <t>{jsdata.day[498].sumAbsences}</t>
  </si>
  <si>
    <t>{jsdata.day[498].sumPresences}</t>
  </si>
  <si>
    <t>{jsdata.day[499].target}</t>
  </si>
  <si>
    <t>{jsdata.day[499].sumAbsences}</t>
  </si>
  <si>
    <t>{jsdata.day[499].sumPresences}</t>
  </si>
  <si>
    <t>{jsdata.day[500].target}</t>
  </si>
  <si>
    <t>{jsdata.day[500].sumAbsences}</t>
  </si>
  <si>
    <t>{jsdata.day[500].sumPresences}</t>
  </si>
  <si>
    <t>{jsdata.day[501].target}</t>
  </si>
  <si>
    <t>{jsdata.day[501].sumAbsences}</t>
  </si>
  <si>
    <t>{jsdata.day[501].sumPresences}</t>
  </si>
  <si>
    <t>{jsdata.day[502].target}</t>
  </si>
  <si>
    <t>{jsdata.day[502].sumAbsences}</t>
  </si>
  <si>
    <t>{jsdata.day[502].sumPresences}</t>
  </si>
  <si>
    <t>{jsdata.day[503].target}</t>
  </si>
  <si>
    <t>{jsdata.day[503].sumAbsences}</t>
  </si>
  <si>
    <t>{jsdata.day[503].sumPresences}</t>
  </si>
  <si>
    <t>{jsdata.day[504].target}</t>
  </si>
  <si>
    <t>{jsdata.day[504].sumAbsences}</t>
  </si>
  <si>
    <t>{jsdata.day[504].sumPresences}</t>
  </si>
  <si>
    <t>{jsdata.day[505].target}</t>
  </si>
  <si>
    <t>{jsdata.day[505].sumAbsences}</t>
  </si>
  <si>
    <t>{jsdata.day[505].sumPresences}</t>
  </si>
  <si>
    <t>{jsdata.day[506].target}</t>
  </si>
  <si>
    <t>{jsdata.day[506].sumAbsences}</t>
  </si>
  <si>
    <t>{jsdata.day[506].sumPresences}</t>
  </si>
  <si>
    <t>{jsdata.day[507].target}</t>
  </si>
  <si>
    <t>{jsdata.day[507].sumAbsences}</t>
  </si>
  <si>
    <t>{jsdata.day[507].sumPresences}</t>
  </si>
  <si>
    <t>{jsdata.day[508].target}</t>
  </si>
  <si>
    <t>{jsdata.day[508].sumAbsences}</t>
  </si>
  <si>
    <t>{jsdata.day[508].sumPresences}</t>
  </si>
  <si>
    <t>{jsdata.day[509].target}</t>
  </si>
  <si>
    <t>{jsdata.day[509].sumAbsences}</t>
  </si>
  <si>
    <t>{jsdata.day[509].sumPresences}</t>
  </si>
  <si>
    <t>{jsdata.day[510].target}</t>
  </si>
  <si>
    <t>{jsdata.day[510].sumAbsences}</t>
  </si>
  <si>
    <t>{jsdata.day[510].sumPresences}</t>
  </si>
  <si>
    <t>{jsdata.day[511].target}</t>
  </si>
  <si>
    <t>{jsdata.day[511].sumAbsences}</t>
  </si>
  <si>
    <t>{jsdata.day[511].sumPresences}</t>
  </si>
  <si>
    <t>{jsdata.day[512].target}</t>
  </si>
  <si>
    <t>{jsdata.day[512].sumAbsences}</t>
  </si>
  <si>
    <t>{jsdata.day[512].sumPresences}</t>
  </si>
  <si>
    <t>{jsdata.day[513].target}</t>
  </si>
  <si>
    <t>{jsdata.day[513].sumAbsences}</t>
  </si>
  <si>
    <t>{jsdata.day[513].sumPresences}</t>
  </si>
  <si>
    <t>{jsdata.day[514].target}</t>
  </si>
  <si>
    <t>{jsdata.day[514].sumAbsences}</t>
  </si>
  <si>
    <t>{jsdata.day[514].sumPresences}</t>
  </si>
  <si>
    <t>{jsdata.day[515].target}</t>
  </si>
  <si>
    <t>{jsdata.day[515].sumAbsences}</t>
  </si>
  <si>
    <t>{jsdata.day[515].sumPresences}</t>
  </si>
  <si>
    <t>{jsdata.day[516].target}</t>
  </si>
  <si>
    <t>{jsdata.day[516].sumAbsences}</t>
  </si>
  <si>
    <t>{jsdata.day[516].sumPresences}</t>
  </si>
  <si>
    <t>{jsdata.day[517].target}</t>
  </si>
  <si>
    <t>{jsdata.day[517].sumAbsences}</t>
  </si>
  <si>
    <t>{jsdata.day[517].sumPresences}</t>
  </si>
  <si>
    <t>{jsdata.day[518].target}</t>
  </si>
  <si>
    <t>{jsdata.day[518].sumAbsences}</t>
  </si>
  <si>
    <t>{jsdata.day[518].sumPresences}</t>
  </si>
  <si>
    <t>{jsdata.day[519].target}</t>
  </si>
  <si>
    <t>{jsdata.day[519].sumAbsences}</t>
  </si>
  <si>
    <t>{jsdata.day[519].sumPresences}</t>
  </si>
  <si>
    <t>{jsdata.day[520].target}</t>
  </si>
  <si>
    <t>{jsdata.day[520].sumAbsences}</t>
  </si>
  <si>
    <t>{jsdata.day[520].sumPresences}</t>
  </si>
  <si>
    <t>{jsdata.day[521].target}</t>
  </si>
  <si>
    <t>{jsdata.day[521].sumAbsences}</t>
  </si>
  <si>
    <t>{jsdata.day[521].sumPresences}</t>
  </si>
  <si>
    <t>{jsdata.day[522].target}</t>
  </si>
  <si>
    <t>{jsdata.day[522].sumAbsences}</t>
  </si>
  <si>
    <t>{jsdata.day[522].sumPresences}</t>
  </si>
  <si>
    <t>{jsdata.day[523].target}</t>
  </si>
  <si>
    <t>{jsdata.day[523].sumAbsences}</t>
  </si>
  <si>
    <t>{jsdata.day[523].sumPresences}</t>
  </si>
  <si>
    <t>{jsdata.day[524].target}</t>
  </si>
  <si>
    <t>{jsdata.day[524].sumAbsences}</t>
  </si>
  <si>
    <t>{jsdata.day[524].sumPresences}</t>
  </si>
  <si>
    <t>{jsdata.day[525].target}</t>
  </si>
  <si>
    <t>{jsdata.day[525].sumAbsences}</t>
  </si>
  <si>
    <t>{jsdata.day[525].sumPresences}</t>
  </si>
  <si>
    <t>{jsdata.day[526].target}</t>
  </si>
  <si>
    <t>{jsdata.day[526].sumAbsences}</t>
  </si>
  <si>
    <t>{jsdata.day[526].sumPresences}</t>
  </si>
  <si>
    <t>{jsdata.day[527].target}</t>
  </si>
  <si>
    <t>{jsdata.day[527].sumAbsences}</t>
  </si>
  <si>
    <t>{jsdata.day[527].sumPresences}</t>
  </si>
  <si>
    <t>{jsdata.day[528].target}</t>
  </si>
  <si>
    <t>{jsdata.day[528].sumAbsences}</t>
  </si>
  <si>
    <t>{jsdata.day[528].sumPresences}</t>
  </si>
  <si>
    <t>{jsdata.day[529].target}</t>
  </si>
  <si>
    <t>{jsdata.day[529].sumAbsences}</t>
  </si>
  <si>
    <t>{jsdata.day[529].sumPresences}</t>
  </si>
  <si>
    <t>{jsdata.day[530].target}</t>
  </si>
  <si>
    <t>{jsdata.day[530].sumAbsences}</t>
  </si>
  <si>
    <t>{jsdata.day[530].sumPresences}</t>
  </si>
  <si>
    <t>{jsdata.day[531].target}</t>
  </si>
  <si>
    <t>{jsdata.day[531].sumAbsences}</t>
  </si>
  <si>
    <t>{jsdata.day[531].sumPresences}</t>
  </si>
  <si>
    <t>{jsdata.day[532].target}</t>
  </si>
  <si>
    <t>{jsdata.day[532].sumAbsences}</t>
  </si>
  <si>
    <t>{jsdata.day[532].sumPresences}</t>
  </si>
  <si>
    <t>{jsdata.day[533].target}</t>
  </si>
  <si>
    <t>{jsdata.day[533].sumAbsences}</t>
  </si>
  <si>
    <t>{jsdata.day[533].sumPresences}</t>
  </si>
  <si>
    <t>{jsdata.day[534].target}</t>
  </si>
  <si>
    <t>{jsdata.day[534].sumAbsences}</t>
  </si>
  <si>
    <t>{jsdata.day[534].sumPresences}</t>
  </si>
  <si>
    <t>{jsdata.day[535].target}</t>
  </si>
  <si>
    <t>{jsdata.day[535].sumAbsences}</t>
  </si>
  <si>
    <t>{jsdata.day[535].sumPresences}</t>
  </si>
  <si>
    <t>{jsdata.day[536].target}</t>
  </si>
  <si>
    <t>{jsdata.day[536].sumAbsences}</t>
  </si>
  <si>
    <t>{jsdata.day[536].sumPresences}</t>
  </si>
  <si>
    <t>{jsdata.day[537].target}</t>
  </si>
  <si>
    <t>{jsdata.day[537].sumAbsences}</t>
  </si>
  <si>
    <t>{jsdata.day[537].sumPresences}</t>
  </si>
  <si>
    <t>{jsdata.day[538].target}</t>
  </si>
  <si>
    <t>{jsdata.day[538].sumAbsences}</t>
  </si>
  <si>
    <t>{jsdata.day[538].sumPresences}</t>
  </si>
  <si>
    <t>{jsdata.day[539].target}</t>
  </si>
  <si>
    <t>{jsdata.day[539].sumAbsences}</t>
  </si>
  <si>
    <t>{jsdata.day[539].sumPresences}</t>
  </si>
  <si>
    <t>{jsdata.day[540].target}</t>
  </si>
  <si>
    <t>{jsdata.day[540].sumAbsences}</t>
  </si>
  <si>
    <t>{jsdata.day[540].sumPresences}</t>
  </si>
  <si>
    <t>{jsdata.day[541].target}</t>
  </si>
  <si>
    <t>{jsdata.day[541].sumAbsences}</t>
  </si>
  <si>
    <t>{jsdata.day[541].sumPresences}</t>
  </si>
  <si>
    <t>{jsdata.day[542].target}</t>
  </si>
  <si>
    <t>{jsdata.day[542].sumAbsences}</t>
  </si>
  <si>
    <t>{jsdata.day[542].sumPresences}</t>
  </si>
  <si>
    <t>{jsdata.day[543].target}</t>
  </si>
  <si>
    <t>{jsdata.day[543].sumAbsences}</t>
  </si>
  <si>
    <t>{jsdata.day[543].sumPresences}</t>
  </si>
  <si>
    <t>{jsdata.day[544].target}</t>
  </si>
  <si>
    <t>{jsdata.day[544].sumAbsences}</t>
  </si>
  <si>
    <t>{jsdata.day[544].sumPresences}</t>
  </si>
  <si>
    <t>{jsdata.day[545].target}</t>
  </si>
  <si>
    <t>{jsdata.day[545].sumAbsences}</t>
  </si>
  <si>
    <t>{jsdata.day[545].sumPresences}</t>
  </si>
  <si>
    <t>{jsdata.day[546].target}</t>
  </si>
  <si>
    <t>{jsdata.day[546].sumAbsences}</t>
  </si>
  <si>
    <t>{jsdata.day[546].sumPresences}</t>
  </si>
  <si>
    <t>{jsdata.day[547].target}</t>
  </si>
  <si>
    <t>{jsdata.day[547].sumAbsences}</t>
  </si>
  <si>
    <t>{jsdata.day[547].sumPresences}</t>
  </si>
  <si>
    <t>{jsdata.day[548].target}</t>
  </si>
  <si>
    <t>{jsdata.day[548].sumAbsences}</t>
  </si>
  <si>
    <t>{jsdata.day[548].sumPresences}</t>
  </si>
  <si>
    <t>{jsdata.day[549].target}</t>
  </si>
  <si>
    <t>{jsdata.day[549].sumAbsences}</t>
  </si>
  <si>
    <t>{jsdata.day[549].sumPresences}</t>
  </si>
  <si>
    <t>{jsdata.day[550].target}</t>
  </si>
  <si>
    <t>{jsdata.day[550].sumAbsences}</t>
  </si>
  <si>
    <t>{jsdata.day[550].sumPresences}</t>
  </si>
  <si>
    <t>{jsdata.day[551].target}</t>
  </si>
  <si>
    <t>{jsdata.day[551].sumAbsences}</t>
  </si>
  <si>
    <t>{jsdata.day[551].sumPresences}</t>
  </si>
  <si>
    <t>{jsdata.day[552].target}</t>
  </si>
  <si>
    <t>{jsdata.day[552].sumAbsences}</t>
  </si>
  <si>
    <t>{jsdata.day[552].sumPresences}</t>
  </si>
  <si>
    <t>{jsdata.day[553].target}</t>
  </si>
  <si>
    <t>{jsdata.day[553].sumAbsences}</t>
  </si>
  <si>
    <t>{jsdata.day[553].sumPresences}</t>
  </si>
  <si>
    <t>{jsdata.day[554].target}</t>
  </si>
  <si>
    <t>{jsdata.day[554].sumAbsences}</t>
  </si>
  <si>
    <t>{jsdata.day[554].sumPresences}</t>
  </si>
  <si>
    <t>{jsdata.day[555].target}</t>
  </si>
  <si>
    <t>{jsdata.day[555].sumAbsences}</t>
  </si>
  <si>
    <t>{jsdata.day[555].sumPresences}</t>
  </si>
  <si>
    <t>{jsdata.day[556].target}</t>
  </si>
  <si>
    <t>{jsdata.day[556].sumAbsences}</t>
  </si>
  <si>
    <t>{jsdata.day[556].sumPresences}</t>
  </si>
  <si>
    <t>{jsdata.day[557].target}</t>
  </si>
  <si>
    <t>{jsdata.day[557].sumAbsences}</t>
  </si>
  <si>
    <t>{jsdata.day[557].sumPresences}</t>
  </si>
  <si>
    <t>{jsdata.day[558].target}</t>
  </si>
  <si>
    <t>{jsdata.day[558].sumAbsences}</t>
  </si>
  <si>
    <t>{jsdata.day[558].sumPresences}</t>
  </si>
  <si>
    <t>{jsdata.day[559].target}</t>
  </si>
  <si>
    <t>{jsdata.day[559].sumAbsences}</t>
  </si>
  <si>
    <t>{jsdata.day[559].sumPresences}</t>
  </si>
  <si>
    <t>{jsdata.day[560].target}</t>
  </si>
  <si>
    <t>{jsdata.day[560].sumAbsences}</t>
  </si>
  <si>
    <t>{jsdata.day[560].sumPresences}</t>
  </si>
  <si>
    <t>{jsdata.day[561].target}</t>
  </si>
  <si>
    <t>{jsdata.day[561].sumAbsences}</t>
  </si>
  <si>
    <t>{jsdata.day[561].sumPresences}</t>
  </si>
  <si>
    <t>{jsdata.day[562].target}</t>
  </si>
  <si>
    <t>{jsdata.day[562].sumAbsences}</t>
  </si>
  <si>
    <t>{jsdata.day[562].sumPresences}</t>
  </si>
  <si>
    <t>{jsdata.day[563].target}</t>
  </si>
  <si>
    <t>{jsdata.day[563].sumAbsences}</t>
  </si>
  <si>
    <t>{jsdata.day[563].sumPresences}</t>
  </si>
  <si>
    <t>{jsdata.day[564].target}</t>
  </si>
  <si>
    <t>{jsdata.day[564].sumAbsences}</t>
  </si>
  <si>
    <t>{jsdata.day[564].sumPresences}</t>
  </si>
  <si>
    <t>{jsdata.day[565].target}</t>
  </si>
  <si>
    <t>{jsdata.day[565].sumAbsences}</t>
  </si>
  <si>
    <t>{jsdata.day[565].sumPresences}</t>
  </si>
  <si>
    <t>{jsdata.day[566].target}</t>
  </si>
  <si>
    <t>{jsdata.day[566].sumAbsences}</t>
  </si>
  <si>
    <t>{jsdata.day[566].sumPresences}</t>
  </si>
  <si>
    <t>{jsdata.day[567].target}</t>
  </si>
  <si>
    <t>{jsdata.day[567].sumAbsences}</t>
  </si>
  <si>
    <t>{jsdata.day[567].sumPresences}</t>
  </si>
  <si>
    <t>{jsdata.day[568].target}</t>
  </si>
  <si>
    <t>{jsdata.day[568].sumAbsences}</t>
  </si>
  <si>
    <t>{jsdata.day[568].sumPresences}</t>
  </si>
  <si>
    <t>{jsdata.day[569].target}</t>
  </si>
  <si>
    <t>{jsdata.day[569].sumAbsences}</t>
  </si>
  <si>
    <t>{jsdata.day[569].sumPresences}</t>
  </si>
  <si>
    <t>{jsdata.day[570].target}</t>
  </si>
  <si>
    <t>{jsdata.day[570].sumAbsences}</t>
  </si>
  <si>
    <t>{jsdata.day[570].sumPresences}</t>
  </si>
  <si>
    <t>{jsdata.day[571].target}</t>
  </si>
  <si>
    <t>{jsdata.day[571].sumAbsences}</t>
  </si>
  <si>
    <t>{jsdata.day[571].sumPresences}</t>
  </si>
  <si>
    <t>{jsdata.day[572].target}</t>
  </si>
  <si>
    <t>{jsdata.day[572].sumAbsences}</t>
  </si>
  <si>
    <t>{jsdata.day[572].sumPresences}</t>
  </si>
  <si>
    <t>{jsdata.day[573].target}</t>
  </si>
  <si>
    <t>{jsdata.day[573].sumAbsences}</t>
  </si>
  <si>
    <t>{jsdata.day[573].sumPresences}</t>
  </si>
  <si>
    <t>{jsdata.day[574].target}</t>
  </si>
  <si>
    <t>{jsdata.day[574].sumAbsences}</t>
  </si>
  <si>
    <t>{jsdata.day[574].sumPresences}</t>
  </si>
  <si>
    <t>{jsdata.day[575].target}</t>
  </si>
  <si>
    <t>{jsdata.day[575].sumAbsences}</t>
  </si>
  <si>
    <t>{jsdata.day[575].sumPresences}</t>
  </si>
  <si>
    <t>{jsdata.day[576].target}</t>
  </si>
  <si>
    <t>{jsdata.day[576].sumAbsences}</t>
  </si>
  <si>
    <t>{jsdata.day[576].sumPresences}</t>
  </si>
  <si>
    <t>{jsdata.day[577].target}</t>
  </si>
  <si>
    <t>{jsdata.day[577].sumAbsences}</t>
  </si>
  <si>
    <t>{jsdata.day[577].sumPresences}</t>
  </si>
  <si>
    <t>{jsdata.day[578].target}</t>
  </si>
  <si>
    <t>{jsdata.day[578].sumAbsences}</t>
  </si>
  <si>
    <t>{jsdata.day[578].sumPresences}</t>
  </si>
  <si>
    <t>{jsdata.day[579].target}</t>
  </si>
  <si>
    <t>{jsdata.day[579].sumAbsences}</t>
  </si>
  <si>
    <t>{jsdata.day[579].sumPresences}</t>
  </si>
  <si>
    <t>{jsdata.day[580].target}</t>
  </si>
  <si>
    <t>{jsdata.day[580].sumAbsences}</t>
  </si>
  <si>
    <t>{jsdata.day[580].sumPresences}</t>
  </si>
  <si>
    <t>{jsdata.day[581].target}</t>
  </si>
  <si>
    <t>{jsdata.day[581].sumAbsences}</t>
  </si>
  <si>
    <t>{jsdata.day[581].sumPresences}</t>
  </si>
  <si>
    <t>{jsdata.day[582].target}</t>
  </si>
  <si>
    <t>{jsdata.day[582].sumAbsences}</t>
  </si>
  <si>
    <t>{jsdata.day[582].sumPresences}</t>
  </si>
  <si>
    <t>{jsdata.day[583].target}</t>
  </si>
  <si>
    <t>{jsdata.day[583].sumAbsences}</t>
  </si>
  <si>
    <t>{jsdata.day[583].sumPresences}</t>
  </si>
  <si>
    <t>{jsdata.day[584].target}</t>
  </si>
  <si>
    <t>{jsdata.day[584].sumAbsences}</t>
  </si>
  <si>
    <t>{jsdata.day[584].sumPresences}</t>
  </si>
  <si>
    <t>{jsdata.day[585].target}</t>
  </si>
  <si>
    <t>{jsdata.day[585].sumAbsences}</t>
  </si>
  <si>
    <t>{jsdata.day[585].sumPresences}</t>
  </si>
  <si>
    <t>{jsdata.day[586].target}</t>
  </si>
  <si>
    <t>{jsdata.day[586].sumAbsences}</t>
  </si>
  <si>
    <t>{jsdata.day[586].sumPresences}</t>
  </si>
  <si>
    <t>{jsdata.day[587].target}</t>
  </si>
  <si>
    <t>{jsdata.day[587].sumAbsences}</t>
  </si>
  <si>
    <t>{jsdata.day[587].sumPresences}</t>
  </si>
  <si>
    <t>{jsdata.day[588].target}</t>
  </si>
  <si>
    <t>{jsdata.day[588].sumAbsences}</t>
  </si>
  <si>
    <t>{jsdata.day[588].sumPresences}</t>
  </si>
  <si>
    <t>{jsdata.day[589].target}</t>
  </si>
  <si>
    <t>{jsdata.day[589].sumAbsences}</t>
  </si>
  <si>
    <t>{jsdata.day[589].sumPresences}</t>
  </si>
  <si>
    <t>{jsdata.day[590].target}</t>
  </si>
  <si>
    <t>{jsdata.day[590].sumAbsences}</t>
  </si>
  <si>
    <t>{jsdata.day[590].sumPresences}</t>
  </si>
  <si>
    <t>{jsdata.day[591].target}</t>
  </si>
  <si>
    <t>{jsdata.day[591].sumAbsences}</t>
  </si>
  <si>
    <t>{jsdata.day[591].sumPresences}</t>
  </si>
  <si>
    <t>{jsdata.day[592].target}</t>
  </si>
  <si>
    <t>{jsdata.day[592].sumAbsences}</t>
  </si>
  <si>
    <t>{jsdata.day[592].sumPresences}</t>
  </si>
  <si>
    <t>{jsdata.day[593].target}</t>
  </si>
  <si>
    <t>{jsdata.day[593].sumAbsences}</t>
  </si>
  <si>
    <t>{jsdata.day[593].sumPresences}</t>
  </si>
  <si>
    <t>{jsdata.day[594].target}</t>
  </si>
  <si>
    <t>{jsdata.day[594].sumAbsences}</t>
  </si>
  <si>
    <t>{jsdata.day[594].sumPresences}</t>
  </si>
  <si>
    <t>{jsdata.day[595].target}</t>
  </si>
  <si>
    <t>{jsdata.day[595].sumAbsences}</t>
  </si>
  <si>
    <t>{jsdata.day[595].sumPresences}</t>
  </si>
  <si>
    <t>{jsdata.day[596].target}</t>
  </si>
  <si>
    <t>{jsdata.day[596].sumAbsences}</t>
  </si>
  <si>
    <t>{jsdata.day[596].sumPresences}</t>
  </si>
  <si>
    <t>{jsdata.day[597].target}</t>
  </si>
  <si>
    <t>{jsdata.day[597].sumAbsences}</t>
  </si>
  <si>
    <t>{jsdata.day[597].sumPresences}</t>
  </si>
  <si>
    <t>{jsdata.day[598].target}</t>
  </si>
  <si>
    <t>{jsdata.day[598].sumAbsences}</t>
  </si>
  <si>
    <t>{jsdata.day[598].sumPresences}</t>
  </si>
  <si>
    <t>{jsdata.day[599].target}</t>
  </si>
  <si>
    <t>{jsdata.day[599].sumAbsences}</t>
  </si>
  <si>
    <t>{jsdata.day[599].sumPresences}</t>
  </si>
  <si>
    <t>{jsdata.day[600].target}</t>
  </si>
  <si>
    <t>{jsdata.day[600].sumAbsences}</t>
  </si>
  <si>
    <t>{jsdata.day[600].sumPresences}</t>
  </si>
  <si>
    <t>{jsdata.day[601].target}</t>
  </si>
  <si>
    <t>{jsdata.day[601].sumAbsences}</t>
  </si>
  <si>
    <t>{jsdata.day[601].sumPresences}</t>
  </si>
  <si>
    <t>{jsdata.day[602].target}</t>
  </si>
  <si>
    <t>{jsdata.day[602].sumAbsences}</t>
  </si>
  <si>
    <t>{jsdata.day[602].sumPresences}</t>
  </si>
  <si>
    <t>{jsdata.day[603].target}</t>
  </si>
  <si>
    <t>{jsdata.day[603].sumAbsences}</t>
  </si>
  <si>
    <t>{jsdata.day[603].sumPresences}</t>
  </si>
  <si>
    <t>{jsdata.day[604].target}</t>
  </si>
  <si>
    <t>{jsdata.day[604].sumAbsences}</t>
  </si>
  <si>
    <t>{jsdata.day[604].sumPresences}</t>
  </si>
  <si>
    <t>{jsdata.day[605].target}</t>
  </si>
  <si>
    <t>{jsdata.day[605].sumAbsences}</t>
  </si>
  <si>
    <t>{jsdata.day[605].sumPresences}</t>
  </si>
  <si>
    <t>{jsdata.day[606].target}</t>
  </si>
  <si>
    <t>{jsdata.day[606].sumAbsences}</t>
  </si>
  <si>
    <t>{jsdata.day[606].sumPresences}</t>
  </si>
  <si>
    <t>{jsdata.day[607].target}</t>
  </si>
  <si>
    <t>{jsdata.day[607].sumAbsences}</t>
  </si>
  <si>
    <t>{jsdata.day[607].sumPresences}</t>
  </si>
  <si>
    <t>{jsdata.day[608].target}</t>
  </si>
  <si>
    <t>{jsdata.day[608].sumAbsences}</t>
  </si>
  <si>
    <t>{jsdata.day[608].sumPresences}</t>
  </si>
  <si>
    <t>{jsdata.day[609].target}</t>
  </si>
  <si>
    <t>{jsdata.day[609].sumAbsences}</t>
  </si>
  <si>
    <t>{jsdata.day[609].sumPresences}</t>
  </si>
  <si>
    <t>{jsdata.day[610].target}</t>
  </si>
  <si>
    <t>{jsdata.day[610].sumAbsences}</t>
  </si>
  <si>
    <t>{jsdata.day[610].sumPresences}</t>
  </si>
  <si>
    <t>{jsdata.day[611].target}</t>
  </si>
  <si>
    <t>{jsdata.day[611].sumAbsences}</t>
  </si>
  <si>
    <t>{jsdata.day[611].sumPresences}</t>
  </si>
  <si>
    <t>{jsdata.day[612].target}</t>
  </si>
  <si>
    <t>{jsdata.day[612].sumAbsences}</t>
  </si>
  <si>
    <t>{jsdata.day[612].sumPresences}</t>
  </si>
  <si>
    <t>{jsdata.day[613].target}</t>
  </si>
  <si>
    <t>{jsdata.day[613].sumAbsences}</t>
  </si>
  <si>
    <t>{jsdata.day[613].sumPresences}</t>
  </si>
  <si>
    <t>{jsdata.day[614].target}</t>
  </si>
  <si>
    <t>{jsdata.day[614].sumAbsences}</t>
  </si>
  <si>
    <t>{jsdata.day[614].sumPresences}</t>
  </si>
  <si>
    <t>{jsdata.day[615].target}</t>
  </si>
  <si>
    <t>{jsdata.day[615].sumAbsences}</t>
  </si>
  <si>
    <t>{jsdata.day[615].sumPresences}</t>
  </si>
  <si>
    <t>{jsdata.day[616].target}</t>
  </si>
  <si>
    <t>{jsdata.day[616].sumAbsences}</t>
  </si>
  <si>
    <t>{jsdata.day[616].sumPresences}</t>
  </si>
  <si>
    <t>{jsdata.day[617].target}</t>
  </si>
  <si>
    <t>{jsdata.day[617].sumAbsences}</t>
  </si>
  <si>
    <t>{jsdata.day[617].sumPresences}</t>
  </si>
  <si>
    <t>{jsdata.day[618].target}</t>
  </si>
  <si>
    <t>{jsdata.day[618].sumAbsences}</t>
  </si>
  <si>
    <t>{jsdata.day[618].sumPresences}</t>
  </si>
  <si>
    <t>{jsdata.day[619].target}</t>
  </si>
  <si>
    <t>{jsdata.day[619].sumAbsences}</t>
  </si>
  <si>
    <t>{jsdata.day[619].sumPresences}</t>
  </si>
  <si>
    <t>{jsdata.day[620].target}</t>
  </si>
  <si>
    <t>{jsdata.day[620].sumAbsences}</t>
  </si>
  <si>
    <t>{jsdata.day[620].sumPresences}</t>
  </si>
  <si>
    <t>{jsdata.day[621].target}</t>
  </si>
  <si>
    <t>{jsdata.day[621].sumAbsences}</t>
  </si>
  <si>
    <t>{jsdata.day[621].sumPresences}</t>
  </si>
  <si>
    <t>{jsdata.day[622].target}</t>
  </si>
  <si>
    <t>{jsdata.day[622].sumAbsences}</t>
  </si>
  <si>
    <t>{jsdata.day[622].sumPresences}</t>
  </si>
  <si>
    <t>{jsdata.day[623].target}</t>
  </si>
  <si>
    <t>{jsdata.day[623].sumAbsences}</t>
  </si>
  <si>
    <t>{jsdata.day[623].sumPresences}</t>
  </si>
  <si>
    <t>{jsdata.day[624].target}</t>
  </si>
  <si>
    <t>{jsdata.day[624].sumAbsences}</t>
  </si>
  <si>
    <t>{jsdata.day[624].sumPresences}</t>
  </si>
  <si>
    <t>{jsdata.day[625].target}</t>
  </si>
  <si>
    <t>{jsdata.day[625].sumAbsences}</t>
  </si>
  <si>
    <t>{jsdata.day[625].sumPresences}</t>
  </si>
  <si>
    <t>{jsdata.day[626].target}</t>
  </si>
  <si>
    <t>{jsdata.day[626].sumAbsences}</t>
  </si>
  <si>
    <t>{jsdata.day[626].sumPresences}</t>
  </si>
  <si>
    <t>{jsdata.day[627].target}</t>
  </si>
  <si>
    <t>{jsdata.day[627].sumAbsences}</t>
  </si>
  <si>
    <t>{jsdata.day[627].sumPresences}</t>
  </si>
  <si>
    <t>{jsdata.day[628].target}</t>
  </si>
  <si>
    <t>{jsdata.day[628].sumAbsences}</t>
  </si>
  <si>
    <t>{jsdata.day[628].sumPresences}</t>
  </si>
  <si>
    <t>{jsdata.day[629].target}</t>
  </si>
  <si>
    <t>{jsdata.day[629].sumAbsences}</t>
  </si>
  <si>
    <t>{jsdata.day[629].sumPresences}</t>
  </si>
  <si>
    <t>{jsdata.day[630].target}</t>
  </si>
  <si>
    <t>{jsdata.day[630].sumAbsences}</t>
  </si>
  <si>
    <t>{jsdata.day[630].sumPresences}</t>
  </si>
  <si>
    <t>{jsdata.day[631].target}</t>
  </si>
  <si>
    <t>{jsdata.day[631].sumAbsences}</t>
  </si>
  <si>
    <t>{jsdata.day[631].sumPresences}</t>
  </si>
  <si>
    <t>{jsdata.day[632].target}</t>
  </si>
  <si>
    <t>{jsdata.day[632].sumAbsences}</t>
  </si>
  <si>
    <t>{jsdata.day[632].sumPresences}</t>
  </si>
  <si>
    <t>{jsdata.day[633].target}</t>
  </si>
  <si>
    <t>{jsdata.day[633].sumAbsences}</t>
  </si>
  <si>
    <t>{jsdata.day[633].sumPresences}</t>
  </si>
  <si>
    <t>{jsdata.day[634].target}</t>
  </si>
  <si>
    <t>{jsdata.day[634].sumAbsences}</t>
  </si>
  <si>
    <t>{jsdata.day[634].sumPresences}</t>
  </si>
  <si>
    <t>{jsdata.day[635].target}</t>
  </si>
  <si>
    <t>{jsdata.day[635].sumAbsences}</t>
  </si>
  <si>
    <t>{jsdata.day[635].sumPresences}</t>
  </si>
  <si>
    <t>{jsdata.day[636].target}</t>
  </si>
  <si>
    <t>{jsdata.day[636].sumAbsences}</t>
  </si>
  <si>
    <t>{jsdata.day[636].sumPresences}</t>
  </si>
  <si>
    <t>{jsdata.day[637].target}</t>
  </si>
  <si>
    <t>{jsdata.day[637].sumAbsences}</t>
  </si>
  <si>
    <t>{jsdata.day[637].sumPresences}</t>
  </si>
  <si>
    <t>{jsdata.day[638].target}</t>
  </si>
  <si>
    <t>{jsdata.day[638].sumAbsences}</t>
  </si>
  <si>
    <t>{jsdata.day[638].sumPresences}</t>
  </si>
  <si>
    <t>{jsdata.day[639].target}</t>
  </si>
  <si>
    <t>{jsdata.day[639].sumAbsences}</t>
  </si>
  <si>
    <t>{jsdata.day[639].sumPresences}</t>
  </si>
  <si>
    <t>{jsdata.day[640].target}</t>
  </si>
  <si>
    <t>{jsdata.day[640].sumAbsences}</t>
  </si>
  <si>
    <t>{jsdata.day[640].sumPresences}</t>
  </si>
  <si>
    <t>{jsdata.day[641].target}</t>
  </si>
  <si>
    <t>{jsdata.day[641].sumAbsences}</t>
  </si>
  <si>
    <t>{jsdata.day[641].sumPresences}</t>
  </si>
  <si>
    <t>{jsdata.day[642].target}</t>
  </si>
  <si>
    <t>{jsdata.day[642].sumAbsences}</t>
  </si>
  <si>
    <t>{jsdata.day[642].sumPresences}</t>
  </si>
  <si>
    <t>{jsdata.day[643].target}</t>
  </si>
  <si>
    <t>{jsdata.day[643].sumAbsences}</t>
  </si>
  <si>
    <t>{jsdata.day[643].sumPresences}</t>
  </si>
  <si>
    <t>{jsdata.day[644].target}</t>
  </si>
  <si>
    <t>{jsdata.day[644].sumAbsences}</t>
  </si>
  <si>
    <t>{jsdata.day[644].sumPresences}</t>
  </si>
  <si>
    <t>{jsdata.day[645].target}</t>
  </si>
  <si>
    <t>{jsdata.day[645].sumAbsences}</t>
  </si>
  <si>
    <t>{jsdata.day[645].sumPresences}</t>
  </si>
  <si>
    <t>{jsdata.day[646].target}</t>
  </si>
  <si>
    <t>{jsdata.day[646].sumAbsences}</t>
  </si>
  <si>
    <t>{jsdata.day[646].sumPresences}</t>
  </si>
  <si>
    <t>{jsdata.day[647].target}</t>
  </si>
  <si>
    <t>{jsdata.day[647].sumAbsences}</t>
  </si>
  <si>
    <t>{jsdata.day[647].sumPresences}</t>
  </si>
  <si>
    <t>{jsdata.day[648].target}</t>
  </si>
  <si>
    <t>{jsdata.day[648].sumAbsences}</t>
  </si>
  <si>
    <t>{jsdata.day[648].sumPresences}</t>
  </si>
  <si>
    <t>{jsdata.day[649].target}</t>
  </si>
  <si>
    <t>{jsdata.day[649].sumAbsences}</t>
  </si>
  <si>
    <t>{jsdata.day[649].sumPresences}</t>
  </si>
  <si>
    <t>{jsdata.day[650].target}</t>
  </si>
  <si>
    <t>{jsdata.day[650].sumAbsences}</t>
  </si>
  <si>
    <t>{jsdata.day[650].sumPresences}</t>
  </si>
  <si>
    <t>{jsdata.day[651].target}</t>
  </si>
  <si>
    <t>{jsdata.day[651].sumAbsences}</t>
  </si>
  <si>
    <t>{jsdata.day[651].sumPresences}</t>
  </si>
  <si>
    <t>{jsdata.day[652].target}</t>
  </si>
  <si>
    <t>{jsdata.day[652].sumAbsences}</t>
  </si>
  <si>
    <t>{jsdata.day[652].sumPresences}</t>
  </si>
  <si>
    <t>{jsdata.day[653].target}</t>
  </si>
  <si>
    <t>{jsdata.day[653].sumAbsences}</t>
  </si>
  <si>
    <t>{jsdata.day[653].sumPresences}</t>
  </si>
  <si>
    <t>{jsdata.day[654].target}</t>
  </si>
  <si>
    <t>{jsdata.day[654].sumAbsences}</t>
  </si>
  <si>
    <t>{jsdata.day[654].sumPresences}</t>
  </si>
  <si>
    <t>{jsdata.day[655].target}</t>
  </si>
  <si>
    <t>{jsdata.day[655].sumAbsences}</t>
  </si>
  <si>
    <t>{jsdata.day[655].sumPresences}</t>
  </si>
  <si>
    <t>{jsdata.day[656].target}</t>
  </si>
  <si>
    <t>{jsdata.day[656].sumAbsences}</t>
  </si>
  <si>
    <t>{jsdata.day[656].sumPresences}</t>
  </si>
  <si>
    <t>{jsdata.day[657].target}</t>
  </si>
  <si>
    <t>{jsdata.day[657].sumAbsences}</t>
  </si>
  <si>
    <t>{jsdata.day[657].sumPresences}</t>
  </si>
  <si>
    <t>{jsdata.day[658].target}</t>
  </si>
  <si>
    <t>{jsdata.day[658].sumAbsences}</t>
  </si>
  <si>
    <t>{jsdata.day[658].sumPresences}</t>
  </si>
  <si>
    <t>{jsdata.day[659].target}</t>
  </si>
  <si>
    <t>{jsdata.day[659].sumAbsences}</t>
  </si>
  <si>
    <t>{jsdata.day[659].sumPresences}</t>
  </si>
  <si>
    <t>{jsdata.day[660].target}</t>
  </si>
  <si>
    <t>{jsdata.day[660].sumAbsences}</t>
  </si>
  <si>
    <t>{jsdata.day[660].sumPresences}</t>
  </si>
  <si>
    <t>{jsdata.day[661].target}</t>
  </si>
  <si>
    <t>{jsdata.day[661].sumAbsences}</t>
  </si>
  <si>
    <t>{jsdata.day[661].sumPresences}</t>
  </si>
  <si>
    <t>{jsdata.day[662].target}</t>
  </si>
  <si>
    <t>{jsdata.day[662].sumAbsences}</t>
  </si>
  <si>
    <t>{jsdata.day[662].sumPresences}</t>
  </si>
  <si>
    <t>{jsdata.day[663].target}</t>
  </si>
  <si>
    <t>{jsdata.day[663].sumAbsences}</t>
  </si>
  <si>
    <t>{jsdata.day[663].sumPresences}</t>
  </si>
  <si>
    <t>{jsdata.day[664].target}</t>
  </si>
  <si>
    <t>{jsdata.day[664].sumAbsences}</t>
  </si>
  <si>
    <t>{jsdata.day[664].sumPresences}</t>
  </si>
  <si>
    <t>{jsdata.day[665].target}</t>
  </si>
  <si>
    <t>{jsdata.day[665].sumAbsences}</t>
  </si>
  <si>
    <t>{jsdata.day[665].sumPresences}</t>
  </si>
  <si>
    <t>{jsdata.day[666].target}</t>
  </si>
  <si>
    <t>{jsdata.day[666].sumAbsences}</t>
  </si>
  <si>
    <t>{jsdata.day[666].sumPresences}</t>
  </si>
  <si>
    <t>{jsdata.day[667].target}</t>
  </si>
  <si>
    <t>{jsdata.day[667].sumAbsences}</t>
  </si>
  <si>
    <t>{jsdata.day[667].sumPresences}</t>
  </si>
  <si>
    <t>{jsdata.day[668].target}</t>
  </si>
  <si>
    <t>{jsdata.day[668].sumAbsences}</t>
  </si>
  <si>
    <t>{jsdata.day[668].sumPresences}</t>
  </si>
  <si>
    <t>{jsdata.day[669].target}</t>
  </si>
  <si>
    <t>{jsdata.day[669].sumAbsences}</t>
  </si>
  <si>
    <t>{jsdata.day[669].sumPresences}</t>
  </si>
  <si>
    <t>{jsdata.day[670].target}</t>
  </si>
  <si>
    <t>{jsdata.day[670].sumAbsences}</t>
  </si>
  <si>
    <t>{jsdata.day[670].sumPresences}</t>
  </si>
  <si>
    <t>{jsdata.day[671].target}</t>
  </si>
  <si>
    <t>{jsdata.day[671].sumAbsences}</t>
  </si>
  <si>
    <t>{jsdata.day[671].sumPresences}</t>
  </si>
  <si>
    <t>{jsdata.day[672].target}</t>
  </si>
  <si>
    <t>{jsdata.day[672].sumAbsences}</t>
  </si>
  <si>
    <t>{jsdata.day[672].sumPresences}</t>
  </si>
  <si>
    <t>{jsdata.day[673].target}</t>
  </si>
  <si>
    <t>{jsdata.day[673].sumAbsences}</t>
  </si>
  <si>
    <t>{jsdata.day[673].sumPresences}</t>
  </si>
  <si>
    <t>{jsdata.day[674].target}</t>
  </si>
  <si>
    <t>{jsdata.day[674].sumAbsences}</t>
  </si>
  <si>
    <t>{jsdata.day[674].sumPresences}</t>
  </si>
  <si>
    <t>{jsdata.day[675].target}</t>
  </si>
  <si>
    <t>{jsdata.day[675].sumAbsences}</t>
  </si>
  <si>
    <t>{jsdata.day[675].sumPresences}</t>
  </si>
  <si>
    <t>{jsdata.day[676].target}</t>
  </si>
  <si>
    <t>{jsdata.day[676].sumAbsences}</t>
  </si>
  <si>
    <t>{jsdata.day[676].sumPresences}</t>
  </si>
  <si>
    <t>{jsdata.day[677].target}</t>
  </si>
  <si>
    <t>{jsdata.day[677].sumAbsences}</t>
  </si>
  <si>
    <t>{jsdata.day[677].sumPresences}</t>
  </si>
  <si>
    <t>{jsdata.day[678].target}</t>
  </si>
  <si>
    <t>{jsdata.day[678].sumAbsences}</t>
  </si>
  <si>
    <t>{jsdata.day[678].sumPresences}</t>
  </si>
  <si>
    <t>{jsdata.day[679].target}</t>
  </si>
  <si>
    <t>{jsdata.day[679].sumAbsences}</t>
  </si>
  <si>
    <t>{jsdata.day[679].sumPresences}</t>
  </si>
  <si>
    <t>{jsdata.day[680].target}</t>
  </si>
  <si>
    <t>{jsdata.day[680].sumAbsences}</t>
  </si>
  <si>
    <t>{jsdata.day[680].sumPresences}</t>
  </si>
  <si>
    <t>{jsdata.day[681].target}</t>
  </si>
  <si>
    <t>{jsdata.day[681].sumAbsences}</t>
  </si>
  <si>
    <t>{jsdata.day[681].sumPresences}</t>
  </si>
  <si>
    <t>{jsdata.day[682].target}</t>
  </si>
  <si>
    <t>{jsdata.day[682].sumAbsences}</t>
  </si>
  <si>
    <t>{jsdata.day[682].sumPresences}</t>
  </si>
  <si>
    <t>{jsdata.day[683].target}</t>
  </si>
  <si>
    <t>{jsdata.day[683].sumAbsences}</t>
  </si>
  <si>
    <t>{jsdata.day[683].sumPresences}</t>
  </si>
  <si>
    <t>{jsdata.day[684].target}</t>
  </si>
  <si>
    <t>{jsdata.day[684].sumAbsences}</t>
  </si>
  <si>
    <t>{jsdata.day[684].sumPresences}</t>
  </si>
  <si>
    <t>{jsdata.day[685].target}</t>
  </si>
  <si>
    <t>{jsdata.day[685].sumAbsences}</t>
  </si>
  <si>
    <t>{jsdata.day[685].sumPresences}</t>
  </si>
  <si>
    <t>{jsdata.day[686].target}</t>
  </si>
  <si>
    <t>{jsdata.day[686].sumAbsences}</t>
  </si>
  <si>
    <t>{jsdata.day[686].sumPresences}</t>
  </si>
  <si>
    <t>{jsdata.day[687].target}</t>
  </si>
  <si>
    <t>{jsdata.day[687].sumAbsences}</t>
  </si>
  <si>
    <t>{jsdata.day[687].sumPresences}</t>
  </si>
  <si>
    <t>{jsdata.day[688].target}</t>
  </si>
  <si>
    <t>{jsdata.day[688].sumAbsences}</t>
  </si>
  <si>
    <t>{jsdata.day[688].sumPresences}</t>
  </si>
  <si>
    <t>{jsdata.day[689].target}</t>
  </si>
  <si>
    <t>{jsdata.day[689].sumAbsences}</t>
  </si>
  <si>
    <t>{jsdata.day[689].sumPresences}</t>
  </si>
  <si>
    <t>{jsdata.day[690].target}</t>
  </si>
  <si>
    <t>{jsdata.day[690].sumAbsences}</t>
  </si>
  <si>
    <t>{jsdata.day[690].sumPresences}</t>
  </si>
  <si>
    <t>{jsdata.day[691].target}</t>
  </si>
  <si>
    <t>{jsdata.day[691].sumAbsences}</t>
  </si>
  <si>
    <t>{jsdata.day[691].sumPresences}</t>
  </si>
  <si>
    <t>{jsdata.day[692].target}</t>
  </si>
  <si>
    <t>{jsdata.day[692].sumAbsences}</t>
  </si>
  <si>
    <t>{jsdata.day[692].sumPresences}</t>
  </si>
  <si>
    <t>{jsdata.day[693].target}</t>
  </si>
  <si>
    <t>{jsdata.day[693].sumAbsences}</t>
  </si>
  <si>
    <t>{jsdata.day[693].sumPresences}</t>
  </si>
  <si>
    <t>{jsdata.day[694].target}</t>
  </si>
  <si>
    <t>{jsdata.day[694].sumAbsences}</t>
  </si>
  <si>
    <t>{jsdata.day[694].sumPresences}</t>
  </si>
  <si>
    <t>{jsdata.day[695].target}</t>
  </si>
  <si>
    <t>{jsdata.day[695].sumAbsences}</t>
  </si>
  <si>
    <t>{jsdata.day[695].sumPresences}</t>
  </si>
  <si>
    <t>{jsdata.day[696].target}</t>
  </si>
  <si>
    <t>{jsdata.day[696].sumAbsences}</t>
  </si>
  <si>
    <t>{jsdata.day[696].sumPresences}</t>
  </si>
  <si>
    <t>{jsdata.day[697].target}</t>
  </si>
  <si>
    <t>{jsdata.day[697].sumAbsences}</t>
  </si>
  <si>
    <t>{jsdata.day[697].sumPresences}</t>
  </si>
  <si>
    <t>{jsdata.day[698].target}</t>
  </si>
  <si>
    <t>{jsdata.day[698].sumAbsences}</t>
  </si>
  <si>
    <t>{jsdata.day[698].sumPresences}</t>
  </si>
  <si>
    <t>{jsdata.day[699].target}</t>
  </si>
  <si>
    <t>{jsdata.day[699].sumAbsences}</t>
  </si>
  <si>
    <t>{jsdata.day[699].sumPresences}</t>
  </si>
  <si>
    <t>{jsdata.day[700].target}</t>
  </si>
  <si>
    <t>{jsdata.day[700].sumAbsences}</t>
  </si>
  <si>
    <t>{jsdata.day[700].sumPresences}</t>
  </si>
  <si>
    <t>{jsdata.day[701].target}</t>
  </si>
  <si>
    <t>{jsdata.day[701].sumAbsences}</t>
  </si>
  <si>
    <t>{jsdata.day[701].sumPresences}</t>
  </si>
  <si>
    <t>{jsdata.day[702].target}</t>
  </si>
  <si>
    <t>{jsdata.day[702].sumAbsences}</t>
  </si>
  <si>
    <t>{jsdata.day[702].sumPresences}</t>
  </si>
  <si>
    <t>{jsdata.day[703].target}</t>
  </si>
  <si>
    <t>{jsdata.day[703].sumAbsences}</t>
  </si>
  <si>
    <t>{jsdata.day[703].sumPresences}</t>
  </si>
  <si>
    <t>{jsdata.day[704].target}</t>
  </si>
  <si>
    <t>{jsdata.day[704].sumAbsences}</t>
  </si>
  <si>
    <t>{jsdata.day[704].sumPresences}</t>
  </si>
  <si>
    <t>{jsdata.day[705].target}</t>
  </si>
  <si>
    <t>{jsdata.day[705].sumAbsences}</t>
  </si>
  <si>
    <t>{jsdata.day[705].sumPresences}</t>
  </si>
  <si>
    <t>{jsdata.day[706].target}</t>
  </si>
  <si>
    <t>{jsdata.day[706].sumAbsences}</t>
  </si>
  <si>
    <t>{jsdata.day[706].sumPresences}</t>
  </si>
  <si>
    <t>{jsdata.day[707].target}</t>
  </si>
  <si>
    <t>{jsdata.day[707].sumAbsences}</t>
  </si>
  <si>
    <t>{jsdata.day[707].sumPresences}</t>
  </si>
  <si>
    <t>{jsdata.day[708].target}</t>
  </si>
  <si>
    <t>{jsdata.day[708].sumAbsences}</t>
  </si>
  <si>
    <t>{jsdata.day[708].sumPresences}</t>
  </si>
  <si>
    <t>{jsdata.day[709].target}</t>
  </si>
  <si>
    <t>{jsdata.day[709].sumAbsences}</t>
  </si>
  <si>
    <t>{jsdata.day[709].sumPresences}</t>
  </si>
  <si>
    <t>{jsdata.day[710].target}</t>
  </si>
  <si>
    <t>{jsdata.day[710].sumAbsences}</t>
  </si>
  <si>
    <t>{jsdata.day[710].sumPresences}</t>
  </si>
  <si>
    <t>{jsdata.day[711].target}</t>
  </si>
  <si>
    <t>{jsdata.day[711].sumAbsences}</t>
  </si>
  <si>
    <t>{jsdata.day[711].sumPresences}</t>
  </si>
  <si>
    <t>{jsdata.day[712].target}</t>
  </si>
  <si>
    <t>{jsdata.day[712].sumAbsences}</t>
  </si>
  <si>
    <t>{jsdata.day[712].sumPresences}</t>
  </si>
  <si>
    <t>{jsdata.day[713].target}</t>
  </si>
  <si>
    <t>{jsdata.day[713].sumAbsences}</t>
  </si>
  <si>
    <t>{jsdata.day[713].sumPresences}</t>
  </si>
  <si>
    <t>{jsdata.day[714].target}</t>
  </si>
  <si>
    <t>{jsdata.day[714].sumAbsences}</t>
  </si>
  <si>
    <t>{jsdata.day[714].sumPresences}</t>
  </si>
  <si>
    <t>{jsdata.day[715].target}</t>
  </si>
  <si>
    <t>{jsdata.day[715].sumAbsences}</t>
  </si>
  <si>
    <t>{jsdata.day[715].sumPresences}</t>
  </si>
  <si>
    <t>{jsdata.day[716].target}</t>
  </si>
  <si>
    <t>{jsdata.day[716].sumAbsences}</t>
  </si>
  <si>
    <t>{jsdata.day[716].sumPresences}</t>
  </si>
  <si>
    <t>{jsdata.day[717].target}</t>
  </si>
  <si>
    <t>{jsdata.day[717].sumAbsences}</t>
  </si>
  <si>
    <t>{jsdata.day[717].sumPresences}</t>
  </si>
  <si>
    <t>{jsdata.day[718].target}</t>
  </si>
  <si>
    <t>{jsdata.day[718].sumAbsences}</t>
  </si>
  <si>
    <t>{jsdata.day[718].sumPresences}</t>
  </si>
  <si>
    <t>{jsdata.day[719].target}</t>
  </si>
  <si>
    <t>{jsdata.day[719].sumAbsences}</t>
  </si>
  <si>
    <t>{jsdata.day[719].sumPresences}</t>
  </si>
  <si>
    <t>{jsdata.day[720].target}</t>
  </si>
  <si>
    <t>{jsdata.day[720].sumAbsences}</t>
  </si>
  <si>
    <t>{jsdata.day[720].sumPresences}</t>
  </si>
  <si>
    <t>{jsdata.day[721].target}</t>
  </si>
  <si>
    <t>{jsdata.day[721].sumAbsences}</t>
  </si>
  <si>
    <t>{jsdata.day[721].sumPresences}</t>
  </si>
  <si>
    <t>{jsdata.day[722].target}</t>
  </si>
  <si>
    <t>{jsdata.day[722].sumAbsences}</t>
  </si>
  <si>
    <t>{jsdata.day[722].sumPresences}</t>
  </si>
  <si>
    <t>{jsdata.day[723].target}</t>
  </si>
  <si>
    <t>{jsdata.day[723].sumAbsences}</t>
  </si>
  <si>
    <t>{jsdata.day[723].sumPresences}</t>
  </si>
  <si>
    <t>{jsdata.day[724].target}</t>
  </si>
  <si>
    <t>{jsdata.day[724].sumAbsences}</t>
  </si>
  <si>
    <t>{jsdata.day[724].sumPresences}</t>
  </si>
  <si>
    <t>{jsdata.day[725].target}</t>
  </si>
  <si>
    <t>{jsdata.day[725].sumAbsences}</t>
  </si>
  <si>
    <t>{jsdata.day[725].sumPresences}</t>
  </si>
  <si>
    <t>{jsdata.day[726].target}</t>
  </si>
  <si>
    <t>{jsdata.day[726].sumAbsences}</t>
  </si>
  <si>
    <t>{jsdata.day[726].sumPresences}</t>
  </si>
  <si>
    <t>{jsdata.day[727].target}</t>
  </si>
  <si>
    <t>{jsdata.day[727].sumAbsences}</t>
  </si>
  <si>
    <t>{jsdata.day[727].sumPresences}</t>
  </si>
  <si>
    <t>{jsdata.day[728].target}</t>
  </si>
  <si>
    <t>{jsdata.day[728].sumAbsences}</t>
  </si>
  <si>
    <t>{jsdata.day[728].sumPresences}</t>
  </si>
  <si>
    <t>{jsdata.day[729].target}</t>
  </si>
  <si>
    <t>{jsdata.day[729].sumAbsences}</t>
  </si>
  <si>
    <t>{jsdata.day[729].sumPresences}</t>
  </si>
  <si>
    <t>{jsdata.day[730].target}</t>
  </si>
  <si>
    <t>{jsdata.day[730].sumAbsences}</t>
  </si>
  <si>
    <t>{jsdata.day[730].sumPresences}</t>
  </si>
  <si>
    <t>{jsdata.day[731].target}</t>
  </si>
  <si>
    <t>{jsdata.day[731].sumAbsences}</t>
  </si>
  <si>
    <t>{jsdata.day[731].sumPresences}</t>
  </si>
  <si>
    <t>{jsdata.day[732].target}</t>
  </si>
  <si>
    <t>{jsdata.day[732].sumAbsences}</t>
  </si>
  <si>
    <t>{jsdata.day[732].sumPresences}</t>
  </si>
  <si>
    <t>{jsdata.day[733].target}</t>
  </si>
  <si>
    <t>{jsdata.day[733].sumAbsences}</t>
  </si>
  <si>
    <t>{jsdata.day[733].sumPresences}</t>
  </si>
  <si>
    <t>{jsdata.day[734].target}</t>
  </si>
  <si>
    <t>{jsdata.day[734].sumAbsences}</t>
  </si>
  <si>
    <t>{jsdata.day[734].sumPresences}</t>
  </si>
  <si>
    <t>{jsdata.day[735].target}</t>
  </si>
  <si>
    <t>{jsdata.day[735].sumAbsences}</t>
  </si>
  <si>
    <t>{jsdata.day[735].sumPresences}</t>
  </si>
  <si>
    <t>{jsdata.day[736].target}</t>
  </si>
  <si>
    <t>{jsdata.day[736].sumAbsences}</t>
  </si>
  <si>
    <t>{jsdata.day[736].sumPresences}</t>
  </si>
  <si>
    <t>{jsdata.day[737].target}</t>
  </si>
  <si>
    <t>{jsdata.day[737].sumAbsences}</t>
  </si>
  <si>
    <t>{jsdata.day[737].sumPresences}</t>
  </si>
  <si>
    <t>{jsdata.day[738].target}</t>
  </si>
  <si>
    <t>{jsdata.day[738].sumAbsences}</t>
  </si>
  <si>
    <t>{jsdata.day[738].sumPresences}</t>
  </si>
  <si>
    <t>{jsdata.day[739].target}</t>
  </si>
  <si>
    <t>{jsdata.day[739].sumAbsences}</t>
  </si>
  <si>
    <t>{jsdata.day[739].sumPresences}</t>
  </si>
  <si>
    <t>{jsdata.day[740].target}</t>
  </si>
  <si>
    <t>{jsdata.day[740].sumAbsences}</t>
  </si>
  <si>
    <t>{jsdata.day[740].sumPresences}</t>
  </si>
  <si>
    <t>{jsdata.day[741].target}</t>
  </si>
  <si>
    <t>{jsdata.day[741].sumAbsences}</t>
  </si>
  <si>
    <t>{jsdata.day[741].sumPresences}</t>
  </si>
  <si>
    <t>{jsdata.day[742].target}</t>
  </si>
  <si>
    <t>{jsdata.day[742].sumAbsences}</t>
  </si>
  <si>
    <t>{jsdata.day[742].sumPresences}</t>
  </si>
  <si>
    <t>{jsdata.day[743].target}</t>
  </si>
  <si>
    <t>{jsdata.day[743].sumAbsences}</t>
  </si>
  <si>
    <t>{jsdata.day[743].sumPresences}</t>
  </si>
  <si>
    <t>{jsdata.day[744].target}</t>
  </si>
  <si>
    <t>{jsdata.day[744].sumAbsences}</t>
  </si>
  <si>
    <t>{jsdata.day[744].sumPresences}</t>
  </si>
  <si>
    <t>{jsdata.day[745].target}</t>
  </si>
  <si>
    <t>{jsdata.day[745].sumAbsences}</t>
  </si>
  <si>
    <t>{jsdata.day[745].sumPresences}</t>
  </si>
  <si>
    <t>{jsdata.day[746].target}</t>
  </si>
  <si>
    <t>{jsdata.day[746].sumAbsences}</t>
  </si>
  <si>
    <t>{jsdata.day[746].sumPresences}</t>
  </si>
  <si>
    <t>{jsdata.day[747].target}</t>
  </si>
  <si>
    <t>{jsdata.day[747].sumAbsences}</t>
  </si>
  <si>
    <t>{jsdata.day[747].sumPresences}</t>
  </si>
  <si>
    <t>{jsdata.day[748].target}</t>
  </si>
  <si>
    <t>{jsdata.day[748].sumAbsences}</t>
  </si>
  <si>
    <t>{jsdata.day[748].sumPresences}</t>
  </si>
  <si>
    <t>{jsdata.day[749].target}</t>
  </si>
  <si>
    <t>{jsdata.day[749].sumAbsences}</t>
  </si>
  <si>
    <t>{jsdata.day[749].sumPresences}</t>
  </si>
  <si>
    <t>{jsdata.day[750].target}</t>
  </si>
  <si>
    <t>{jsdata.day[750].sumAbsences}</t>
  </si>
  <si>
    <t>{jsdata.day[750].sumPresences}</t>
  </si>
  <si>
    <t>{jsdata.day[751].target}</t>
  </si>
  <si>
    <t>{jsdata.day[751].sumAbsences}</t>
  </si>
  <si>
    <t>{jsdata.day[751].sumPresences}</t>
  </si>
  <si>
    <t>{jsdata.day[752].target}</t>
  </si>
  <si>
    <t>{jsdata.day[752].sumAbsences}</t>
  </si>
  <si>
    <t>{jsdata.day[752].sumPresences}</t>
  </si>
  <si>
    <t>{jsdata.day[753].target}</t>
  </si>
  <si>
    <t>{jsdata.day[753].sumAbsences}</t>
  </si>
  <si>
    <t>{jsdata.day[753].sumPresences}</t>
  </si>
  <si>
    <t>{jsdata.day[754].target}</t>
  </si>
  <si>
    <t>{jsdata.day[754].sumAbsences}</t>
  </si>
  <si>
    <t>{jsdata.day[754].sumPresences}</t>
  </si>
  <si>
    <t>{jsdata.day[755].target}</t>
  </si>
  <si>
    <t>{jsdata.day[755].sumAbsences}</t>
  </si>
  <si>
    <t>{jsdata.day[755].sumPresences}</t>
  </si>
  <si>
    <t>{jsdata.day[756].target}</t>
  </si>
  <si>
    <t>{jsdata.day[756].sumAbsences}</t>
  </si>
  <si>
    <t>{jsdata.day[756].sumPresences}</t>
  </si>
  <si>
    <t>{jsdata.day[757].target}</t>
  </si>
  <si>
    <t>{jsdata.day[757].sumAbsences}</t>
  </si>
  <si>
    <t>{jsdata.day[757].sumPresences}</t>
  </si>
  <si>
    <t>{jsdata.day[758].target}</t>
  </si>
  <si>
    <t>{jsdata.day[758].sumAbsences}</t>
  </si>
  <si>
    <t>{jsdata.day[758].sumPresences}</t>
  </si>
  <si>
    <t>{jsdata.day[759].target}</t>
  </si>
  <si>
    <t>{jsdata.day[759].sumAbsences}</t>
  </si>
  <si>
    <t>{jsdata.day[759].sumPresences}</t>
  </si>
  <si>
    <t>{jsdata.day[760].target}</t>
  </si>
  <si>
    <t>{jsdata.day[760].sumAbsences}</t>
  </si>
  <si>
    <t>{jsdata.day[760].sumPresences}</t>
  </si>
  <si>
    <t>{jsdata.day[761].target}</t>
  </si>
  <si>
    <t>{jsdata.day[761].sumAbsences}</t>
  </si>
  <si>
    <t>{jsdata.day[761].sumPresences}</t>
  </si>
  <si>
    <t>{jsdata.day[762].target}</t>
  </si>
  <si>
    <t>{jsdata.day[762].sumAbsences}</t>
  </si>
  <si>
    <t>{jsdata.day[762].sumPresences}</t>
  </si>
  <si>
    <t>{jsdata.day[763].target}</t>
  </si>
  <si>
    <t>{jsdata.day[763].sumAbsences}</t>
  </si>
  <si>
    <t>{jsdata.day[763].sumPresences}</t>
  </si>
  <si>
    <t>{jsdata.day[764].target}</t>
  </si>
  <si>
    <t>{jsdata.day[764].sumAbsences}</t>
  </si>
  <si>
    <t>{jsdata.day[764].sumPresences}</t>
  </si>
  <si>
    <t>{jsdata.day[765].target}</t>
  </si>
  <si>
    <t>{jsdata.day[765].sumAbsences}</t>
  </si>
  <si>
    <t>{jsdata.day[765].sumPresences}</t>
  </si>
  <si>
    <t>{jsdata.day[766].target}</t>
  </si>
  <si>
    <t>{jsdata.day[766].sumAbsences}</t>
  </si>
  <si>
    <t>{jsdata.day[766].sumPresences}</t>
  </si>
  <si>
    <t>{jsdata.day[767].target}</t>
  </si>
  <si>
    <t>{jsdata.day[767].sumAbsences}</t>
  </si>
  <si>
    <t>{jsdata.day[767].sumPresences}</t>
  </si>
  <si>
    <t>{jsdata.day[768].target}</t>
  </si>
  <si>
    <t>{jsdata.day[768].sumAbsences}</t>
  </si>
  <si>
    <t>{jsdata.day[768].sumPresences}</t>
  </si>
  <si>
    <t>{jsdata.day[769].target}</t>
  </si>
  <si>
    <t>{jsdata.day[769].sumAbsences}</t>
  </si>
  <si>
    <t>{jsdata.day[769].sumPresences}</t>
  </si>
  <si>
    <t>{jsdata.day[770].target}</t>
  </si>
  <si>
    <t>{jsdata.day[770].sumAbsences}</t>
  </si>
  <si>
    <t>{jsdata.day[770].sumPresences}</t>
  </si>
  <si>
    <t>{jsdata.day[771].target}</t>
  </si>
  <si>
    <t>{jsdata.day[771].sumAbsences}</t>
  </si>
  <si>
    <t>{jsdata.day[771].sumPresences}</t>
  </si>
  <si>
    <t>{jsdata.day[772].target}</t>
  </si>
  <si>
    <t>{jsdata.day[772].sumAbsences}</t>
  </si>
  <si>
    <t>{jsdata.day[772].sumPresences}</t>
  </si>
  <si>
    <t>{jsdata.day[773].target}</t>
  </si>
  <si>
    <t>{jsdata.day[773].sumAbsences}</t>
  </si>
  <si>
    <t>{jsdata.day[773].sumPresences}</t>
  </si>
  <si>
    <t>{jsdata.day[774].target}</t>
  </si>
  <si>
    <t>{jsdata.day[774].sumAbsences}</t>
  </si>
  <si>
    <t>{jsdata.day[774].sumPresences}</t>
  </si>
  <si>
    <t>{jsdata.day[775].target}</t>
  </si>
  <si>
    <t>{jsdata.day[775].sumAbsences}</t>
  </si>
  <si>
    <t>{jsdata.day[775].sumPresences}</t>
  </si>
  <si>
    <t>{jsdata.day[776].target}</t>
  </si>
  <si>
    <t>{jsdata.day[776].sumAbsences}</t>
  </si>
  <si>
    <t>{jsdata.day[776].sumPresences}</t>
  </si>
  <si>
    <t>{jsdata.day[777].target}</t>
  </si>
  <si>
    <t>{jsdata.day[777].sumAbsences}</t>
  </si>
  <si>
    <t>{jsdata.day[777].sumPresences}</t>
  </si>
  <si>
    <t>{jsdata.day[778].target}</t>
  </si>
  <si>
    <t>{jsdata.day[778].sumAbsences}</t>
  </si>
  <si>
    <t>{jsdata.day[778].sumPresences}</t>
  </si>
  <si>
    <t>{jsdata.day[779].target}</t>
  </si>
  <si>
    <t>{jsdata.day[779].sumAbsences}</t>
  </si>
  <si>
    <t>{jsdata.day[779].sumPresences}</t>
  </si>
  <si>
    <t>{jsdata.day[780].target}</t>
  </si>
  <si>
    <t>{jsdata.day[780].sumAbsences}</t>
  </si>
  <si>
    <t>{jsdata.day[780].sumPresences}</t>
  </si>
  <si>
    <t>{jsdata.day[781].target}</t>
  </si>
  <si>
    <t>{jsdata.day[781].sumAbsences}</t>
  </si>
  <si>
    <t>{jsdata.day[781].sumPresences}</t>
  </si>
  <si>
    <t>{jsdata.day[782].target}</t>
  </si>
  <si>
    <t>{jsdata.day[782].sumAbsences}</t>
  </si>
  <si>
    <t>{jsdata.day[782].sumPresences}</t>
  </si>
  <si>
    <t>{jsdata.day[783].target}</t>
  </si>
  <si>
    <t>{jsdata.day[783].sumAbsences}</t>
  </si>
  <si>
    <t>{jsdata.day[783].sumPresences}</t>
  </si>
  <si>
    <t>{jsdata.day[784].target}</t>
  </si>
  <si>
    <t>{jsdata.day[784].sumAbsences}</t>
  </si>
  <si>
    <t>{jsdata.day[784].sumPresences}</t>
  </si>
  <si>
    <t>{jsdata.day[785].target}</t>
  </si>
  <si>
    <t>{jsdata.day[785].sumAbsences}</t>
  </si>
  <si>
    <t>{jsdata.day[785].sumPresences}</t>
  </si>
  <si>
    <t>{jsdata.day[786].target}</t>
  </si>
  <si>
    <t>{jsdata.day[786].sumAbsences}</t>
  </si>
  <si>
    <t>{jsdata.day[786].sumPresences}</t>
  </si>
  <si>
    <t>{jsdata.day[787].target}</t>
  </si>
  <si>
    <t>{jsdata.day[787].sumAbsences}</t>
  </si>
  <si>
    <t>{jsdata.day[787].sumPresences}</t>
  </si>
  <si>
    <t>{jsdata.day[788].target}</t>
  </si>
  <si>
    <t>{jsdata.day[788].sumAbsences}</t>
  </si>
  <si>
    <t>{jsdata.day[788].sumPresences}</t>
  </si>
  <si>
    <t>{jsdata.day[789].target}</t>
  </si>
  <si>
    <t>{jsdata.day[789].sumAbsences}</t>
  </si>
  <si>
    <t>{jsdata.day[789].sumPresences}</t>
  </si>
  <si>
    <t>{jsdata.day[790].target}</t>
  </si>
  <si>
    <t>{jsdata.day[790].sumAbsences}</t>
  </si>
  <si>
    <t>{jsdata.day[790].sumPresences}</t>
  </si>
  <si>
    <t>{jsdata.day[791].target}</t>
  </si>
  <si>
    <t>{jsdata.day[791].sumAbsences}</t>
  </si>
  <si>
    <t>{jsdata.day[791].sumPresences}</t>
  </si>
  <si>
    <t>{jsdata.day[792].target}</t>
  </si>
  <si>
    <t>{jsdata.day[792].sumAbsences}</t>
  </si>
  <si>
    <t>{jsdata.day[792].sumPresences}</t>
  </si>
  <si>
    <t>{jsdata.day[793].target}</t>
  </si>
  <si>
    <t>{jsdata.day[793].sumAbsences}</t>
  </si>
  <si>
    <t>{jsdata.day[793].sumPresences}</t>
  </si>
  <si>
    <t>{jsdata.day[794].target}</t>
  </si>
  <si>
    <t>{jsdata.day[794].sumAbsences}</t>
  </si>
  <si>
    <t>{jsdata.day[794].sumPresences}</t>
  </si>
  <si>
    <t>{jsdata.day[795].target}</t>
  </si>
  <si>
    <t>{jsdata.day[795].sumAbsences}</t>
  </si>
  <si>
    <t>{jsdata.day[795].sumPresences}</t>
  </si>
  <si>
    <t>{jsdata.day[796].target}</t>
  </si>
  <si>
    <t>{jsdata.day[796].sumAbsences}</t>
  </si>
  <si>
    <t>{jsdata.day[796].sumPresences}</t>
  </si>
  <si>
    <t>{jsdata.day[797].target}</t>
  </si>
  <si>
    <t>{jsdata.day[797].sumAbsences}</t>
  </si>
  <si>
    <t>{jsdata.day[797].sumPresences}</t>
  </si>
  <si>
    <t>{jsdata.day[798].target}</t>
  </si>
  <si>
    <t>{jsdata.day[798].sumAbsences}</t>
  </si>
  <si>
    <t>{jsdata.day[798].sumPresences}</t>
  </si>
  <si>
    <t>{jsdata.day[799].target}</t>
  </si>
  <si>
    <t>{jsdata.day[799].sumAbsences}</t>
  </si>
  <si>
    <t>{jsdata.day[799].sumPresences}</t>
  </si>
  <si>
    <t>{jsdata.day[800].target}</t>
  </si>
  <si>
    <t>{jsdata.day[800].sumAbsences}</t>
  </si>
  <si>
    <t>{jsdata.day[800].sumPresences}</t>
  </si>
  <si>
    <t>{jsdata.day[801].target}</t>
  </si>
  <si>
    <t>{jsdata.day[801].sumAbsences}</t>
  </si>
  <si>
    <t>{jsdata.day[801].sumPresences}</t>
  </si>
  <si>
    <t>{jsdata.day[802].target}</t>
  </si>
  <si>
    <t>{jsdata.day[802].sumAbsences}</t>
  </si>
  <si>
    <t>{jsdata.day[802].sumPresences}</t>
  </si>
  <si>
    <t>{jsdata.day[803].target}</t>
  </si>
  <si>
    <t>{jsdata.day[803].sumAbsences}</t>
  </si>
  <si>
    <t>{jsdata.day[803].sumPresences}</t>
  </si>
  <si>
    <t>{jsdata.day[804].target}</t>
  </si>
  <si>
    <t>{jsdata.day[804].sumAbsences}</t>
  </si>
  <si>
    <t>{jsdata.day[804].sumPresences}</t>
  </si>
  <si>
    <t>{jsdata.day[805].target}</t>
  </si>
  <si>
    <t>{jsdata.day[805].sumAbsences}</t>
  </si>
  <si>
    <t>{jsdata.day[805].sumPresences}</t>
  </si>
  <si>
    <t>{jsdata.day[806].target}</t>
  </si>
  <si>
    <t>{jsdata.day[806].sumAbsences}</t>
  </si>
  <si>
    <t>{jsdata.day[806].sumPresences}</t>
  </si>
  <si>
    <t>{jsdata.day[807].target}</t>
  </si>
  <si>
    <t>{jsdata.day[807].sumAbsences}</t>
  </si>
  <si>
    <t>{jsdata.day[807].sumPresences}</t>
  </si>
  <si>
    <t>{jsdata.day[808].target}</t>
  </si>
  <si>
    <t>{jsdata.day[808].sumAbsences}</t>
  </si>
  <si>
    <t>{jsdata.day[808].sumPresences}</t>
  </si>
  <si>
    <t>{jsdata.day[809].target}</t>
  </si>
  <si>
    <t>{jsdata.day[809].sumAbsences}</t>
  </si>
  <si>
    <t>{jsdata.day[809].sumPresences}</t>
  </si>
  <si>
    <t>{jsdata.day[810].target}</t>
  </si>
  <si>
    <t>{jsdata.day[810].sumAbsences}</t>
  </si>
  <si>
    <t>{jsdata.day[810].sumPresences}</t>
  </si>
  <si>
    <t>{jsdata.day[811].target}</t>
  </si>
  <si>
    <t>{jsdata.day[811].sumAbsences}</t>
  </si>
  <si>
    <t>{jsdata.day[811].sumPresences}</t>
  </si>
  <si>
    <t>{jsdata.day[812].target}</t>
  </si>
  <si>
    <t>{jsdata.day[812].sumAbsences}</t>
  </si>
  <si>
    <t>{jsdata.day[812].sumPresences}</t>
  </si>
  <si>
    <t>{jsdata.day[813].target}</t>
  </si>
  <si>
    <t>{jsdata.day[813].sumAbsences}</t>
  </si>
  <si>
    <t>{jsdata.day[813].sumPresences}</t>
  </si>
  <si>
    <t>{jsdata.day[814].target}</t>
  </si>
  <si>
    <t>{jsdata.day[814].sumAbsences}</t>
  </si>
  <si>
    <t>{jsdata.day[814].sumPresences}</t>
  </si>
  <si>
    <t>{jsdata.day[815].target}</t>
  </si>
  <si>
    <t>{jsdata.day[815].sumAbsences}</t>
  </si>
  <si>
    <t>{jsdata.day[815].sumPresences}</t>
  </si>
  <si>
    <t>{jsdata.day[816].target}</t>
  </si>
  <si>
    <t>{jsdata.day[816].sumAbsences}</t>
  </si>
  <si>
    <t>{jsdata.day[816].sumPresences}</t>
  </si>
  <si>
    <t>{jsdata.day[817].target}</t>
  </si>
  <si>
    <t>{jsdata.day[817].sumAbsences}</t>
  </si>
  <si>
    <t>{jsdata.day[817].sumPresences}</t>
  </si>
  <si>
    <t>{jsdata.day[818].target}</t>
  </si>
  <si>
    <t>{jsdata.day[818].sumAbsences}</t>
  </si>
  <si>
    <t>{jsdata.day[818].sumPresences}</t>
  </si>
  <si>
    <t>{jsdata.day[819].target}</t>
  </si>
  <si>
    <t>{jsdata.day[819].sumAbsences}</t>
  </si>
  <si>
    <t>{jsdata.day[819].sumPresences}</t>
  </si>
  <si>
    <t>{jsdata.day[820].target}</t>
  </si>
  <si>
    <t>{jsdata.day[820].sumAbsences}</t>
  </si>
  <si>
    <t>{jsdata.day[820].sumPresences}</t>
  </si>
  <si>
    <t>{jsdata.day[821].target}</t>
  </si>
  <si>
    <t>{jsdata.day[821].sumAbsences}</t>
  </si>
  <si>
    <t>{jsdata.day[821].sumPresences}</t>
  </si>
  <si>
    <t>{jsdata.day[822].target}</t>
  </si>
  <si>
    <t>{jsdata.day[822].sumAbsences}</t>
  </si>
  <si>
    <t>{jsdata.day[822].sumPresences}</t>
  </si>
  <si>
    <t>{jsdata.day[823].target}</t>
  </si>
  <si>
    <t>{jsdata.day[823].sumAbsences}</t>
  </si>
  <si>
    <t>{jsdata.day[823].sumPresences}</t>
  </si>
  <si>
    <t>{jsdata.day[824].target}</t>
  </si>
  <si>
    <t>{jsdata.day[824].sumAbsences}</t>
  </si>
  <si>
    <t>{jsdata.day[824].sumPresences}</t>
  </si>
  <si>
    <t>{jsdata.day[825].target}</t>
  </si>
  <si>
    <t>{jsdata.day[825].sumAbsences}</t>
  </si>
  <si>
    <t>{jsdata.day[825].sumPresences}</t>
  </si>
  <si>
    <t>{jsdata.day[826].target}</t>
  </si>
  <si>
    <t>{jsdata.day[826].sumAbsences}</t>
  </si>
  <si>
    <t>{jsdata.day[826].sumPresences}</t>
  </si>
  <si>
    <t>{jsdata.day[827].target}</t>
  </si>
  <si>
    <t>{jsdata.day[827].sumAbsences}</t>
  </si>
  <si>
    <t>{jsdata.day[827].sumPresences}</t>
  </si>
  <si>
    <t>{jsdata.day[828].target}</t>
  </si>
  <si>
    <t>{jsdata.day[828].sumAbsences}</t>
  </si>
  <si>
    <t>{jsdata.day[828].sumPresences}</t>
  </si>
  <si>
    <t>{jsdata.day[829].target}</t>
  </si>
  <si>
    <t>{jsdata.day[829].sumAbsences}</t>
  </si>
  <si>
    <t>{jsdata.day[829].sumPresences}</t>
  </si>
  <si>
    <t>{jsdata.day[830].target}</t>
  </si>
  <si>
    <t>{jsdata.day[830].sumAbsences}</t>
  </si>
  <si>
    <t>{jsdata.day[830].sumPresences}</t>
  </si>
  <si>
    <t>{jsdata.day[831].target}</t>
  </si>
  <si>
    <t>{jsdata.day[831].sumAbsences}</t>
  </si>
  <si>
    <t>{jsdata.day[831].sumPresences}</t>
  </si>
  <si>
    <t>{jsdata.day[832].target}</t>
  </si>
  <si>
    <t>{jsdata.day[832].sumAbsences}</t>
  </si>
  <si>
    <t>{jsdata.day[832].sumPresences}</t>
  </si>
  <si>
    <t>{jsdata.day[833].target}</t>
  </si>
  <si>
    <t>{jsdata.day[833].sumAbsences}</t>
  </si>
  <si>
    <t>{jsdata.day[833].sumPresences}</t>
  </si>
  <si>
    <t>{jsdata.day[834].target}</t>
  </si>
  <si>
    <t>{jsdata.day[834].sumAbsences}</t>
  </si>
  <si>
    <t>{jsdata.day[834].sumPresences}</t>
  </si>
  <si>
    <t>{jsdata.day[835].target}</t>
  </si>
  <si>
    <t>{jsdata.day[835].sumAbsences}</t>
  </si>
  <si>
    <t>{jsdata.day[835].sumPresences}</t>
  </si>
  <si>
    <t>{jsdata.day[836].target}</t>
  </si>
  <si>
    <t>{jsdata.day[836].sumAbsences}</t>
  </si>
  <si>
    <t>{jsdata.day[836].sumPresences}</t>
  </si>
  <si>
    <t>{jsdata.day[837].target}</t>
  </si>
  <si>
    <t>{jsdata.day[837].sumAbsences}</t>
  </si>
  <si>
    <t>{jsdata.day[837].sumPresences}</t>
  </si>
  <si>
    <t>{jsdata.day[838].target}</t>
  </si>
  <si>
    <t>{jsdata.day[838].sumAbsences}</t>
  </si>
  <si>
    <t>{jsdata.day[838].sumPresences}</t>
  </si>
  <si>
    <t>{jsdata.day[839].target}</t>
  </si>
  <si>
    <t>{jsdata.day[839].sumAbsences}</t>
  </si>
  <si>
    <t>{jsdata.day[839].sumPresences}</t>
  </si>
  <si>
    <t>{jsdata.day[840].target}</t>
  </si>
  <si>
    <t>{jsdata.day[840].sumAbsences}</t>
  </si>
  <si>
    <t>{jsdata.day[840].sumPresences}</t>
  </si>
  <si>
    <t>{jsdata.day[841].target}</t>
  </si>
  <si>
    <t>{jsdata.day[841].sumAbsences}</t>
  </si>
  <si>
    <t>{jsdata.day[841].sumPresences}</t>
  </si>
  <si>
    <t>{jsdata.day[842].target}</t>
  </si>
  <si>
    <t>{jsdata.day[842].sumAbsences}</t>
  </si>
  <si>
    <t>{jsdata.day[842].sumPresences}</t>
  </si>
  <si>
    <t>{jsdata.day[843].target}</t>
  </si>
  <si>
    <t>{jsdata.day[843].sumAbsences}</t>
  </si>
  <si>
    <t>{jsdata.day[843].sumPresences}</t>
  </si>
  <si>
    <t>{jsdata.day[844].target}</t>
  </si>
  <si>
    <t>{jsdata.day[844].sumAbsences}</t>
  </si>
  <si>
    <t>{jsdata.day[844].sumPresences}</t>
  </si>
  <si>
    <t>{jsdata.day[845].target}</t>
  </si>
  <si>
    <t>{jsdata.day[845].sumAbsences}</t>
  </si>
  <si>
    <t>{jsdata.day[845].sumPresences}</t>
  </si>
  <si>
    <t>{jsdata.day[846].target}</t>
  </si>
  <si>
    <t>{jsdata.day[846].sumAbsences}</t>
  </si>
  <si>
    <t>{jsdata.day[846].sumPresences}</t>
  </si>
  <si>
    <t>{jsdata.day[847].target}</t>
  </si>
  <si>
    <t>{jsdata.day[847].sumAbsences}</t>
  </si>
  <si>
    <t>{jsdata.day[847].sumPresences}</t>
  </si>
  <si>
    <t>{jsdata.day[848].target}</t>
  </si>
  <si>
    <t>{jsdata.day[848].sumAbsences}</t>
  </si>
  <si>
    <t>{jsdata.day[848].sumPresences}</t>
  </si>
  <si>
    <t>{jsdata.day[849].target}</t>
  </si>
  <si>
    <t>{jsdata.day[849].sumAbsences}</t>
  </si>
  <si>
    <t>{jsdata.day[849].sumPresences}</t>
  </si>
  <si>
    <t>{jsdata.day[850].target}</t>
  </si>
  <si>
    <t>{jsdata.day[850].sumAbsences}</t>
  </si>
  <si>
    <t>{jsdata.day[850].sumPresences}</t>
  </si>
  <si>
    <t>{jsdata.day[851].target}</t>
  </si>
  <si>
    <t>{jsdata.day[851].sumAbsences}</t>
  </si>
  <si>
    <t>{jsdata.day[851].sumPresences}</t>
  </si>
  <si>
    <t>{jsdata.day[852].target}</t>
  </si>
  <si>
    <t>{jsdata.day[852].sumAbsences}</t>
  </si>
  <si>
    <t>{jsdata.day[852].sumPresences}</t>
  </si>
  <si>
    <t>{jsdata.day[853].target}</t>
  </si>
  <si>
    <t>{jsdata.day[853].sumAbsences}</t>
  </si>
  <si>
    <t>{jsdata.day[853].sumPresences}</t>
  </si>
  <si>
    <t>{jsdata.day[854].target}</t>
  </si>
  <si>
    <t>{jsdata.day[854].sumAbsences}</t>
  </si>
  <si>
    <t>{jsdata.day[854].sumPresences}</t>
  </si>
  <si>
    <t>{jsdata.day[855].target}</t>
  </si>
  <si>
    <t>{jsdata.day[855].sumAbsences}</t>
  </si>
  <si>
    <t>{jsdata.day[855].sumPresences}</t>
  </si>
  <si>
    <t>{jsdata.day[856].target}</t>
  </si>
  <si>
    <t>{jsdata.day[856].sumAbsences}</t>
  </si>
  <si>
    <t>{jsdata.day[856].sumPresences}</t>
  </si>
  <si>
    <t>{jsdata.day[857].target}</t>
  </si>
  <si>
    <t>{jsdata.day[857].sumAbsences}</t>
  </si>
  <si>
    <t>{jsdata.day[857].sumPresences}</t>
  </si>
  <si>
    <t>{jsdata.day[858].target}</t>
  </si>
  <si>
    <t>{jsdata.day[858].sumAbsences}</t>
  </si>
  <si>
    <t>{jsdata.day[858].sumPresences}</t>
  </si>
  <si>
    <t>{jsdata.day[859].target}</t>
  </si>
  <si>
    <t>{jsdata.day[859].sumAbsences}</t>
  </si>
  <si>
    <t>{jsdata.day[859].sumPresences}</t>
  </si>
  <si>
    <t>{jsdata.day[860].target}</t>
  </si>
  <si>
    <t>{jsdata.day[860].sumAbsences}</t>
  </si>
  <si>
    <t>{jsdata.day[860].sumPresences}</t>
  </si>
  <si>
    <t>{jsdata.day[861].target}</t>
  </si>
  <si>
    <t>{jsdata.day[861].sumAbsences}</t>
  </si>
  <si>
    <t>{jsdata.day[861].sumPresences}</t>
  </si>
  <si>
    <t>{jsdata.day[862].target}</t>
  </si>
  <si>
    <t>{jsdata.day[862].sumAbsences}</t>
  </si>
  <si>
    <t>{jsdata.day[862].sumPresences}</t>
  </si>
  <si>
    <t>{jsdata.day[863].target}</t>
  </si>
  <si>
    <t>{jsdata.day[863].sumAbsences}</t>
  </si>
  <si>
    <t>{jsdata.day[863].sumPresences}</t>
  </si>
  <si>
    <t>{jsdata.day[864].target}</t>
  </si>
  <si>
    <t>{jsdata.day[864].sumAbsences}</t>
  </si>
  <si>
    <t>{jsdata.day[864].sumPresences}</t>
  </si>
  <si>
    <t>{jsdata.day[865].target}</t>
  </si>
  <si>
    <t>{jsdata.day[865].sumAbsences}</t>
  </si>
  <si>
    <t>{jsdata.day[865].sumPresences}</t>
  </si>
  <si>
    <t>{jsdata.day[866].target}</t>
  </si>
  <si>
    <t>{jsdata.day[866].sumAbsences}</t>
  </si>
  <si>
    <t>{jsdata.day[866].sumPresences}</t>
  </si>
  <si>
    <t>{jsdata.day[867].target}</t>
  </si>
  <si>
    <t>{jsdata.day[867].sumAbsences}</t>
  </si>
  <si>
    <t>{jsdata.day[867].sumPresences}</t>
  </si>
  <si>
    <t>{jsdata.day[868].target}</t>
  </si>
  <si>
    <t>{jsdata.day[868].sumAbsences}</t>
  </si>
  <si>
    <t>{jsdata.day[868].sumPresences}</t>
  </si>
  <si>
    <t>{jsdata.day[869].target}</t>
  </si>
  <si>
    <t>{jsdata.day[869].sumAbsences}</t>
  </si>
  <si>
    <t>{jsdata.day[869].sumPresences}</t>
  </si>
  <si>
    <t>{jsdata.day[870].target}</t>
  </si>
  <si>
    <t>{jsdata.day[870].sumAbsences}</t>
  </si>
  <si>
    <t>{jsdata.day[870].sumPresences}</t>
  </si>
  <si>
    <t>{jsdata.day[871].target}</t>
  </si>
  <si>
    <t>{jsdata.day[871].sumAbsences}</t>
  </si>
  <si>
    <t>{jsdata.day[871].sumPresences}</t>
  </si>
  <si>
    <t>{jsdata.day[872].target}</t>
  </si>
  <si>
    <t>{jsdata.day[872].sumAbsences}</t>
  </si>
  <si>
    <t>{jsdata.day[872].sumPresences}</t>
  </si>
  <si>
    <t>{jsdata.day[873].target}</t>
  </si>
  <si>
    <t>{jsdata.day[873].sumAbsences}</t>
  </si>
  <si>
    <t>{jsdata.day[873].sumPresences}</t>
  </si>
  <si>
    <t>{jsdata.day[874].target}</t>
  </si>
  <si>
    <t>{jsdata.day[874].sumAbsences}</t>
  </si>
  <si>
    <t>{jsdata.day[874].sumPresences}</t>
  </si>
  <si>
    <t>{jsdata.day[875].target}</t>
  </si>
  <si>
    <t>{jsdata.day[875].sumAbsences}</t>
  </si>
  <si>
    <t>{jsdata.day[875].sumPresences}</t>
  </si>
  <si>
    <t>{jsdata.day[876].target}</t>
  </si>
  <si>
    <t>{jsdata.day[876].sumAbsences}</t>
  </si>
  <si>
    <t>{jsdata.day[876].sumPresences}</t>
  </si>
  <si>
    <t>{jsdata.day[877].target}</t>
  </si>
  <si>
    <t>{jsdata.day[877].sumAbsences}</t>
  </si>
  <si>
    <t>{jsdata.day[877].sumPresences}</t>
  </si>
  <si>
    <t>{jsdata.day[878].target}</t>
  </si>
  <si>
    <t>{jsdata.day[878].sumAbsences}</t>
  </si>
  <si>
    <t>{jsdata.day[878].sumPresences}</t>
  </si>
  <si>
    <t>{jsdata.day[879].target}</t>
  </si>
  <si>
    <t>{jsdata.day[879].sumAbsences}</t>
  </si>
  <si>
    <t>{jsdata.day[879].sumPresences}</t>
  </si>
  <si>
    <t>{jsdata.day[880].target}</t>
  </si>
  <si>
    <t>{jsdata.day[880].sumAbsences}</t>
  </si>
  <si>
    <t>{jsdata.day[880].sumPresences}</t>
  </si>
  <si>
    <t>{jsdata.day[881].target}</t>
  </si>
  <si>
    <t>{jsdata.day[881].sumAbsences}</t>
  </si>
  <si>
    <t>{jsdata.day[881].sumPresences}</t>
  </si>
  <si>
    <t>{jsdata.day[882].target}</t>
  </si>
  <si>
    <t>{jsdata.day[882].sumAbsences}</t>
  </si>
  <si>
    <t>{jsdata.day[882].sumPresences}</t>
  </si>
  <si>
    <t>{jsdata.day[883].target}</t>
  </si>
  <si>
    <t>{jsdata.day[883].sumAbsences}</t>
  </si>
  <si>
    <t>{jsdata.day[883].sumPresences}</t>
  </si>
  <si>
    <t>{jsdata.day[884].target}</t>
  </si>
  <si>
    <t>{jsdata.day[884].sumAbsences}</t>
  </si>
  <si>
    <t>{jsdata.day[884].sumPresences}</t>
  </si>
  <si>
    <t>{jsdata.day[885].target}</t>
  </si>
  <si>
    <t>{jsdata.day[885].sumAbsences}</t>
  </si>
  <si>
    <t>{jsdata.day[885].sumPresences}</t>
  </si>
  <si>
    <t>{jsdata.day[886].target}</t>
  </si>
  <si>
    <t>{jsdata.day[886].sumAbsences}</t>
  </si>
  <si>
    <t>{jsdata.day[886].sumPresences}</t>
  </si>
  <si>
    <t>{jsdata.day[887].target}</t>
  </si>
  <si>
    <t>{jsdata.day[887].sumAbsences}</t>
  </si>
  <si>
    <t>{jsdata.day[887].sumPresences}</t>
  </si>
  <si>
    <t>{jsdata.day[888].target}</t>
  </si>
  <si>
    <t>{jsdata.day[888].sumAbsences}</t>
  </si>
  <si>
    <t>{jsdata.day[888].sumPresences}</t>
  </si>
  <si>
    <t>{jsdata.day[889].target}</t>
  </si>
  <si>
    <t>{jsdata.day[889].sumAbsences}</t>
  </si>
  <si>
    <t>{jsdata.day[889].sumPresences}</t>
  </si>
  <si>
    <t>{jsdata.day[890].target}</t>
  </si>
  <si>
    <t>{jsdata.day[890].sumAbsences}</t>
  </si>
  <si>
    <t>{jsdata.day[890].sumPresences}</t>
  </si>
  <si>
    <t>{jsdata.day[891].target}</t>
  </si>
  <si>
    <t>{jsdata.day[891].sumAbsences}</t>
  </si>
  <si>
    <t>{jsdata.day[891].sumPresences}</t>
  </si>
  <si>
    <t>{jsdata.day[892].target}</t>
  </si>
  <si>
    <t>{jsdata.day[892].sumAbsences}</t>
  </si>
  <si>
    <t>{jsdata.day[892].sumPresences}</t>
  </si>
  <si>
    <t>{jsdata.day[893].target}</t>
  </si>
  <si>
    <t>{jsdata.day[893].sumAbsences}</t>
  </si>
  <si>
    <t>{jsdata.day[893].sumPresences}</t>
  </si>
  <si>
    <t>{jsdata.day[894].target}</t>
  </si>
  <si>
    <t>{jsdata.day[894].sumAbsences}</t>
  </si>
  <si>
    <t>{jsdata.day[894].sumPresences}</t>
  </si>
  <si>
    <t>{jsdata.day[895].target}</t>
  </si>
  <si>
    <t>{jsdata.day[895].sumAbsences}</t>
  </si>
  <si>
    <t>{jsdata.day[895].sumPresences}</t>
  </si>
  <si>
    <t>{jsdata.day[896].target}</t>
  </si>
  <si>
    <t>{jsdata.day[896].sumAbsences}</t>
  </si>
  <si>
    <t>{jsdata.day[896].sumPresences}</t>
  </si>
  <si>
    <t>{jsdata.day[897].target}</t>
  </si>
  <si>
    <t>{jsdata.day[897].sumAbsences}</t>
  </si>
  <si>
    <t>{jsdata.day[897].sumPresences}</t>
  </si>
  <si>
    <t>{jsdata.day[898].target}</t>
  </si>
  <si>
    <t>{jsdata.day[898].sumAbsences}</t>
  </si>
  <si>
    <t>{jsdata.day[898].sumPresences}</t>
  </si>
  <si>
    <t>{jsdata.day[899].target}</t>
  </si>
  <si>
    <t>{jsdata.day[899].sumAbsences}</t>
  </si>
  <si>
    <t>{jsdata.day[899].sumPresences}</t>
  </si>
  <si>
    <t>{jsdata.day[900].target}</t>
  </si>
  <si>
    <t>{jsdata.day[900].sumAbsences}</t>
  </si>
  <si>
    <t>{jsdata.day[900].sumPresences}</t>
  </si>
  <si>
    <t>{jsdata.day[901].target}</t>
  </si>
  <si>
    <t>{jsdata.day[901].sumAbsences}</t>
  </si>
  <si>
    <t>{jsdata.day[901].sumPresences}</t>
  </si>
  <si>
    <t>{jsdata.day[902].target}</t>
  </si>
  <si>
    <t>{jsdata.day[902].sumAbsences}</t>
  </si>
  <si>
    <t>{jsdata.day[902].sumPresences}</t>
  </si>
  <si>
    <t>{jsdata.day[903].target}</t>
  </si>
  <si>
    <t>{jsdata.day[903].sumAbsences}</t>
  </si>
  <si>
    <t>{jsdata.day[903].sumPresences}</t>
  </si>
  <si>
    <t>{jsdata.day[904].target}</t>
  </si>
  <si>
    <t>{jsdata.day[904].sumAbsences}</t>
  </si>
  <si>
    <t>{jsdata.day[904].sumPresences}</t>
  </si>
  <si>
    <t>{jsdata.day[905].target}</t>
  </si>
  <si>
    <t>{jsdata.day[905].sumAbsences}</t>
  </si>
  <si>
    <t>{jsdata.day[905].sumPresences}</t>
  </si>
  <si>
    <t>{jsdata.day[906].target}</t>
  </si>
  <si>
    <t>{jsdata.day[906].sumAbsences}</t>
  </si>
  <si>
    <t>{jsdata.day[906].sumPresences}</t>
  </si>
  <si>
    <t>{jsdata.day[907].target}</t>
  </si>
  <si>
    <t>{jsdata.day[907].sumAbsences}</t>
  </si>
  <si>
    <t>{jsdata.day[907].sumPresences}</t>
  </si>
  <si>
    <t>{jsdata.day[908].target}</t>
  </si>
  <si>
    <t>{jsdata.day[908].sumAbsences}</t>
  </si>
  <si>
    <t>{jsdata.day[908].sumPresences}</t>
  </si>
  <si>
    <t>{jsdata.day[909].target}</t>
  </si>
  <si>
    <t>{jsdata.day[909].sumAbsences}</t>
  </si>
  <si>
    <t>{jsdata.day[909].sumPresences}</t>
  </si>
  <si>
    <t>{jsdata.day[910].target}</t>
  </si>
  <si>
    <t>{jsdata.day[910].sumAbsences}</t>
  </si>
  <si>
    <t>{jsdata.day[910].sumPresences}</t>
  </si>
  <si>
    <t>{jsdata.day[911].target}</t>
  </si>
  <si>
    <t>{jsdata.day[911].sumAbsences}</t>
  </si>
  <si>
    <t>{jsdata.day[911].sumPresences}</t>
  </si>
  <si>
    <t>{jsdata.day[912].target}</t>
  </si>
  <si>
    <t>{jsdata.day[912].sumAbsences}</t>
  </si>
  <si>
    <t>{jsdata.day[912].sumPresences}</t>
  </si>
  <si>
    <t>{jsdata.day[913].target}</t>
  </si>
  <si>
    <t>{jsdata.day[913].sumAbsences}</t>
  </si>
  <si>
    <t>{jsdata.day[913].sumPresences}</t>
  </si>
  <si>
    <t>{jsdata.day[914].target}</t>
  </si>
  <si>
    <t>{jsdata.day[914].sumAbsences}</t>
  </si>
  <si>
    <t>{jsdata.day[914].sumPresences}</t>
  </si>
  <si>
    <t>{jsdata.day[915].target}</t>
  </si>
  <si>
    <t>{jsdata.day[915].sumAbsences}</t>
  </si>
  <si>
    <t>{jsdata.day[915].sumPresences}</t>
  </si>
  <si>
    <t>{jsdata.day[916].target}</t>
  </si>
  <si>
    <t>{jsdata.day[916].sumAbsences}</t>
  </si>
  <si>
    <t>{jsdata.day[916].sumPresences}</t>
  </si>
  <si>
    <t>{jsdata.day[917].target}</t>
  </si>
  <si>
    <t>{jsdata.day[917].sumAbsences}</t>
  </si>
  <si>
    <t>{jsdata.day[917].sumPresences}</t>
  </si>
  <si>
    <t>{jsdata.day[918].target}</t>
  </si>
  <si>
    <t>{jsdata.day[918].sumAbsences}</t>
  </si>
  <si>
    <t>{jsdata.day[918].sumPresences}</t>
  </si>
  <si>
    <t>{jsdata.day[919].target}</t>
  </si>
  <si>
    <t>{jsdata.day[919].sumAbsences}</t>
  </si>
  <si>
    <t>{jsdata.day[919].sumPresences}</t>
  </si>
  <si>
    <t>{jsdata.day[920].target}</t>
  </si>
  <si>
    <t>{jsdata.day[920].sumAbsences}</t>
  </si>
  <si>
    <t>{jsdata.day[920].sumPresences}</t>
  </si>
  <si>
    <t>{jsdata.day[921].target}</t>
  </si>
  <si>
    <t>{jsdata.day[921].sumAbsences}</t>
  </si>
  <si>
    <t>{jsdata.day[921].sumPresences}</t>
  </si>
  <si>
    <t>{jsdata.day[922].target}</t>
  </si>
  <si>
    <t>{jsdata.day[922].sumAbsences}</t>
  </si>
  <si>
    <t>{jsdata.day[922].sumPresences}</t>
  </si>
  <si>
    <t>{jsdata.day[923].target}</t>
  </si>
  <si>
    <t>{jsdata.day[923].sumAbsences}</t>
  </si>
  <si>
    <t>{jsdata.day[923].sumPresences}</t>
  </si>
  <si>
    <t>{jsdata.day[924].target}</t>
  </si>
  <si>
    <t>{jsdata.day[924].sumAbsences}</t>
  </si>
  <si>
    <t>{jsdata.day[924].sumPresences}</t>
  </si>
  <si>
    <t>{jsdata.day[925].target}</t>
  </si>
  <si>
    <t>{jsdata.day[925].sumAbsences}</t>
  </si>
  <si>
    <t>{jsdata.day[925].sumPresences}</t>
  </si>
  <si>
    <t>{jsdata.day[926].target}</t>
  </si>
  <si>
    <t>{jsdata.day[926].sumAbsences}</t>
  </si>
  <si>
    <t>{jsdata.day[926].sumPresences}</t>
  </si>
  <si>
    <t>{jsdata.day[927].target}</t>
  </si>
  <si>
    <t>{jsdata.day[927].sumAbsences}</t>
  </si>
  <si>
    <t>{jsdata.day[927].sumPresences}</t>
  </si>
  <si>
    <t>{jsdata.day[928].target}</t>
  </si>
  <si>
    <t>{jsdata.day[928].sumAbsences}</t>
  </si>
  <si>
    <t>{jsdata.day[928].sumPresences}</t>
  </si>
  <si>
    <t>{jsdata.day[929].target}</t>
  </si>
  <si>
    <t>{jsdata.day[929].sumAbsences}</t>
  </si>
  <si>
    <t>{jsdata.day[929].sumPresences}</t>
  </si>
  <si>
    <t>{jsdata.day[930].target}</t>
  </si>
  <si>
    <t>{jsdata.day[930].sumAbsences}</t>
  </si>
  <si>
    <t>{jsdata.day[930].sumPresences}</t>
  </si>
  <si>
    <t>{jsdata.day[931].target}</t>
  </si>
  <si>
    <t>{jsdata.day[931].sumAbsences}</t>
  </si>
  <si>
    <t>{jsdata.day[931].sumPresences}</t>
  </si>
  <si>
    <t>{jsdata.day[932].target}</t>
  </si>
  <si>
    <t>{jsdata.day[932].sumAbsences}</t>
  </si>
  <si>
    <t>{jsdata.day[932].sumPresences}</t>
  </si>
  <si>
    <t>{jsdata.day[933].target}</t>
  </si>
  <si>
    <t>{jsdata.day[933].sumAbsences}</t>
  </si>
  <si>
    <t>{jsdata.day[933].sumPresences}</t>
  </si>
  <si>
    <t>{jsdata.day[934].target}</t>
  </si>
  <si>
    <t>{jsdata.day[934].sumAbsences}</t>
  </si>
  <si>
    <t>{jsdata.day[934].sumPresences}</t>
  </si>
  <si>
    <t>{jsdata.day[935].target}</t>
  </si>
  <si>
    <t>{jsdata.day[935].sumAbsences}</t>
  </si>
  <si>
    <t>{jsdata.day[935].sumPresences}</t>
  </si>
  <si>
    <t>{jsdata.day[936].target}</t>
  </si>
  <si>
    <t>{jsdata.day[936].sumAbsences}</t>
  </si>
  <si>
    <t>{jsdata.day[936].sumPresences}</t>
  </si>
  <si>
    <t>{jsdata.day[937].target}</t>
  </si>
  <si>
    <t>{jsdata.day[937].sumAbsences}</t>
  </si>
  <si>
    <t>{jsdata.day[937].sumPresences}</t>
  </si>
  <si>
    <t>{jsdata.day[938].target}</t>
  </si>
  <si>
    <t>{jsdata.day[938].sumAbsences}</t>
  </si>
  <si>
    <t>{jsdata.day[938].sumPresences}</t>
  </si>
  <si>
    <t>{jsdata.day[939].target}</t>
  </si>
  <si>
    <t>{jsdata.day[939].sumAbsences}</t>
  </si>
  <si>
    <t>{jsdata.day[939].sumPresences}</t>
  </si>
  <si>
    <t>{jsdata.day[940].target}</t>
  </si>
  <si>
    <t>{jsdata.day[940].sumAbsences}</t>
  </si>
  <si>
    <t>{jsdata.day[940].sumPresences}</t>
  </si>
  <si>
    <t>{jsdata.day[941].target}</t>
  </si>
  <si>
    <t>{jsdata.day[941].sumAbsences}</t>
  </si>
  <si>
    <t>{jsdata.day[941].sumPresences}</t>
  </si>
  <si>
    <t>{jsdata.day[942].target}</t>
  </si>
  <si>
    <t>{jsdata.day[942].sumAbsences}</t>
  </si>
  <si>
    <t>{jsdata.day[942].sumPresences}</t>
  </si>
  <si>
    <t>{jsdata.day[943].target}</t>
  </si>
  <si>
    <t>{jsdata.day[943].sumAbsences}</t>
  </si>
  <si>
    <t>{jsdata.day[943].sumPresences}</t>
  </si>
  <si>
    <t>{jsdata.day[944].target}</t>
  </si>
  <si>
    <t>{jsdata.day[944].sumAbsences}</t>
  </si>
  <si>
    <t>{jsdata.day[944].sumPresences}</t>
  </si>
  <si>
    <t>{jsdata.day[945].target}</t>
  </si>
  <si>
    <t>{jsdata.day[945].sumAbsences}</t>
  </si>
  <si>
    <t>{jsdata.day[945].sumPresences}</t>
  </si>
  <si>
    <t>{jsdata.day[946].target}</t>
  </si>
  <si>
    <t>{jsdata.day[946].sumAbsences}</t>
  </si>
  <si>
    <t>{jsdata.day[946].sumPresences}</t>
  </si>
  <si>
    <t>{jsdata.day[947].target}</t>
  </si>
  <si>
    <t>{jsdata.day[947].sumAbsences}</t>
  </si>
  <si>
    <t>{jsdata.day[947].sumPresences}</t>
  </si>
  <si>
    <t>{jsdata.day[948].target}</t>
  </si>
  <si>
    <t>{jsdata.day[948].sumAbsences}</t>
  </si>
  <si>
    <t>{jsdata.day[948].sumPresences}</t>
  </si>
  <si>
    <t>{jsdata.day[949].target}</t>
  </si>
  <si>
    <t>{jsdata.day[949].sumAbsences}</t>
  </si>
  <si>
    <t>{jsdata.day[949].sumPresences}</t>
  </si>
  <si>
    <t>{jsdata.day[950].target}</t>
  </si>
  <si>
    <t>{jsdata.day[950].sumAbsences}</t>
  </si>
  <si>
    <t>{jsdata.day[950].sumPresences}</t>
  </si>
  <si>
    <t>{jsdata.day[951].target}</t>
  </si>
  <si>
    <t>{jsdata.day[951].sumAbsences}</t>
  </si>
  <si>
    <t>{jsdata.day[951].sumPresences}</t>
  </si>
  <si>
    <t>{jsdata.day[952].target}</t>
  </si>
  <si>
    <t>{jsdata.day[952].sumAbsences}</t>
  </si>
  <si>
    <t>{jsdata.day[952].sumPresences}</t>
  </si>
  <si>
    <t>{jsdata.day[953].target}</t>
  </si>
  <si>
    <t>{jsdata.day[953].sumAbsences}</t>
  </si>
  <si>
    <t>{jsdata.day[953].sumPresences}</t>
  </si>
  <si>
    <t>{jsdata.day[954].target}</t>
  </si>
  <si>
    <t>{jsdata.day[954].sumAbsences}</t>
  </si>
  <si>
    <t>{jsdata.day[954].sumPresences}</t>
  </si>
  <si>
    <t>{jsdata.day[955].target}</t>
  </si>
  <si>
    <t>{jsdata.day[955].sumAbsences}</t>
  </si>
  <si>
    <t>{jsdata.day[955].sumPresences}</t>
  </si>
  <si>
    <t>{jsdata.day[956].target}</t>
  </si>
  <si>
    <t>{jsdata.day[956].sumAbsences}</t>
  </si>
  <si>
    <t>{jsdata.day[956].sumPresences}</t>
  </si>
  <si>
    <t>{jsdata.day[957].target}</t>
  </si>
  <si>
    <t>{jsdata.day[957].sumAbsences}</t>
  </si>
  <si>
    <t>{jsdata.day[957].sumPresences}</t>
  </si>
  <si>
    <t>{jsdata.day[958].target}</t>
  </si>
  <si>
    <t>{jsdata.day[958].sumAbsences}</t>
  </si>
  <si>
    <t>{jsdata.day[958].sumPresences}</t>
  </si>
  <si>
    <t>{jsdata.day[959].target}</t>
  </si>
  <si>
    <t>{jsdata.day[959].sumAbsences}</t>
  </si>
  <si>
    <t>{jsdata.day[959].sumPresences}</t>
  </si>
  <si>
    <t>{jsdata.day[960].target}</t>
  </si>
  <si>
    <t>{jsdata.day[960].sumAbsences}</t>
  </si>
  <si>
    <t>{jsdata.day[960].sumPresences}</t>
  </si>
  <si>
    <t>{jsdata.day[961].target}</t>
  </si>
  <si>
    <t>{jsdata.day[961].sumAbsences}</t>
  </si>
  <si>
    <t>{jsdata.day[961].sumPresences}</t>
  </si>
  <si>
    <t>{jsdata.day[962].target}</t>
  </si>
  <si>
    <t>{jsdata.day[962].sumAbsences}</t>
  </si>
  <si>
    <t>{jsdata.day[962].sumPresences}</t>
  </si>
  <si>
    <t>{jsdata.day[963].target}</t>
  </si>
  <si>
    <t>{jsdata.day[963].sumAbsences}</t>
  </si>
  <si>
    <t>{jsdata.day[963].sumPresences}</t>
  </si>
  <si>
    <t>{jsdata.day[964].target}</t>
  </si>
  <si>
    <t>{jsdata.day[964].sumAbsences}</t>
  </si>
  <si>
    <t>{jsdata.day[964].sumPresences}</t>
  </si>
  <si>
    <t>{jsdata.day[965].target}</t>
  </si>
  <si>
    <t>{jsdata.day[965].sumAbsences}</t>
  </si>
  <si>
    <t>{jsdata.day[965].sumPresences}</t>
  </si>
  <si>
    <t>{jsdata.day[966].target}</t>
  </si>
  <si>
    <t>{jsdata.day[966].sumAbsences}</t>
  </si>
  <si>
    <t>{jsdata.day[966].sumPresences}</t>
  </si>
  <si>
    <t>{jsdata.day[967].target}</t>
  </si>
  <si>
    <t>{jsdata.day[967].sumAbsences}</t>
  </si>
  <si>
    <t>{jsdata.day[967].sumPresences}</t>
  </si>
  <si>
    <t>{jsdata.day[968].target}</t>
  </si>
  <si>
    <t>{jsdata.day[968].sumAbsences}</t>
  </si>
  <si>
    <t>{jsdata.day[968].sumPresences}</t>
  </si>
  <si>
    <t>{jsdata.day[969].target}</t>
  </si>
  <si>
    <t>{jsdata.day[969].sumAbsences}</t>
  </si>
  <si>
    <t>{jsdata.day[969].sumPresences}</t>
  </si>
  <si>
    <t>{jsdata.day[970].target}</t>
  </si>
  <si>
    <t>{jsdata.day[970].sumAbsences}</t>
  </si>
  <si>
    <t>{jsdata.day[970].sumPresences}</t>
  </si>
  <si>
    <t>{jsdata.day[971].target}</t>
  </si>
  <si>
    <t>{jsdata.day[971].sumAbsences}</t>
  </si>
  <si>
    <t>{jsdata.day[971].sumPresences}</t>
  </si>
  <si>
    <t>{jsdata.day[972].target}</t>
  </si>
  <si>
    <t>{jsdata.day[972].sumAbsences}</t>
  </si>
  <si>
    <t>{jsdata.day[972].sumPresences}</t>
  </si>
  <si>
    <t>{jsdata.day[973].target}</t>
  </si>
  <si>
    <t>{jsdata.day[973].sumAbsences}</t>
  </si>
  <si>
    <t>{jsdata.day[973].sumPresences}</t>
  </si>
  <si>
    <t>{jsdata.day[974].target}</t>
  </si>
  <si>
    <t>{jsdata.day[974].sumAbsences}</t>
  </si>
  <si>
    <t>{jsdata.day[974].sumPresences}</t>
  </si>
  <si>
    <t>{jsdata.day[975].target}</t>
  </si>
  <si>
    <t>{jsdata.day[975].sumAbsences}</t>
  </si>
  <si>
    <t>{jsdata.day[975].sumPresences}</t>
  </si>
  <si>
    <t>{jsdata.day[976].target}</t>
  </si>
  <si>
    <t>{jsdata.day[976].sumAbsences}</t>
  </si>
  <si>
    <t>{jsdata.day[976].sumPresences}</t>
  </si>
  <si>
    <t>{jsdata.day[977].target}</t>
  </si>
  <si>
    <t>{jsdata.day[977].sumAbsences}</t>
  </si>
  <si>
    <t>{jsdata.day[977].sumPresences}</t>
  </si>
  <si>
    <t>{jsdata.day[978].target}</t>
  </si>
  <si>
    <t>{jsdata.day[978].sumAbsences}</t>
  </si>
  <si>
    <t>{jsdata.day[978].sumPresences}</t>
  </si>
  <si>
    <t>{jsdata.day[979].target}</t>
  </si>
  <si>
    <t>{jsdata.day[979].sumAbsences}</t>
  </si>
  <si>
    <t>{jsdata.day[979].sumPresences}</t>
  </si>
  <si>
    <t>{jsdata.day[980].target}</t>
  </si>
  <si>
    <t>{jsdata.day[980].sumAbsences}</t>
  </si>
  <si>
    <t>{jsdata.day[980].sumPresences}</t>
  </si>
  <si>
    <t>{jsdata.day[981].target}</t>
  </si>
  <si>
    <t>{jsdata.day[981].sumAbsences}</t>
  </si>
  <si>
    <t>{jsdata.day[981].sumPresences}</t>
  </si>
  <si>
    <t>{jsdata.day[982].target}</t>
  </si>
  <si>
    <t>{jsdata.day[982].sumAbsences}</t>
  </si>
  <si>
    <t>{jsdata.day[982].sumPresences}</t>
  </si>
  <si>
    <t>{jsdata.day[983].target}</t>
  </si>
  <si>
    <t>{jsdata.day[983].sumAbsences}</t>
  </si>
  <si>
    <t>{jsdata.day[983].sumPresences}</t>
  </si>
  <si>
    <t>{jsdata.day[984].target}</t>
  </si>
  <si>
    <t>{jsdata.day[984].sumAbsences}</t>
  </si>
  <si>
    <t>{jsdata.day[984].sumPresences}</t>
  </si>
  <si>
    <t>{jsdata.day[985].target}</t>
  </si>
  <si>
    <t>{jsdata.day[985].sumAbsences}</t>
  </si>
  <si>
    <t>{jsdata.day[985].sumPresences}</t>
  </si>
  <si>
    <t>{jsdata.day[986].target}</t>
  </si>
  <si>
    <t>{jsdata.day[986].sumAbsences}</t>
  </si>
  <si>
    <t>{jsdata.day[986].sumPresences}</t>
  </si>
  <si>
    <t>{jsdata.day[987].target}</t>
  </si>
  <si>
    <t>{jsdata.day[987].sumAbsences}</t>
  </si>
  <si>
    <t>{jsdata.day[987].sumPresences}</t>
  </si>
  <si>
    <t>{jsdata.day[988].target}</t>
  </si>
  <si>
    <t>{jsdata.day[988].sumAbsences}</t>
  </si>
  <si>
    <t>{jsdata.day[988].sumPresences}</t>
  </si>
  <si>
    <t>{jsdata.day[989].target}</t>
  </si>
  <si>
    <t>{jsdata.day[989].sumAbsences}</t>
  </si>
  <si>
    <t>{jsdata.day[989].sumPresences}</t>
  </si>
  <si>
    <t>{jsdata.day[990].target}</t>
  </si>
  <si>
    <t>{jsdata.day[990].sumAbsences}</t>
  </si>
  <si>
    <t>{jsdata.day[990].sumPresences}</t>
  </si>
  <si>
    <t>{jsdata.day[991].target}</t>
  </si>
  <si>
    <t>{jsdata.day[991].sumAbsences}</t>
  </si>
  <si>
    <t>{jsdata.day[991].sumPresences}</t>
  </si>
  <si>
    <t>{jsdata.day[992].target}</t>
  </si>
  <si>
    <t>{jsdata.day[992].sumAbsences}</t>
  </si>
  <si>
    <t>{jsdata.day[992].sumPresences}</t>
  </si>
  <si>
    <t>{jsdata.day[993].target}</t>
  </si>
  <si>
    <t>{jsdata.day[993].sumAbsences}</t>
  </si>
  <si>
    <t>{jsdata.day[993].sumPresences}</t>
  </si>
  <si>
    <t>{jsdata.day[994].target}</t>
  </si>
  <si>
    <t>{jsdata.day[994].sumAbsences}</t>
  </si>
  <si>
    <t>{jsdata.day[994].sumPresences}</t>
  </si>
  <si>
    <t>{jsdata.day[995].target}</t>
  </si>
  <si>
    <t>{jsdata.day[995].sumAbsences}</t>
  </si>
  <si>
    <t>{jsdata.day[995].sumPresences}</t>
  </si>
  <si>
    <t>{jsdata.day[996].target}</t>
  </si>
  <si>
    <t>{jsdata.day[996].sumAbsences}</t>
  </si>
  <si>
    <t>{jsdata.day[996].sumPresences}</t>
  </si>
  <si>
    <t>{jsdata.day[997].target}</t>
  </si>
  <si>
    <t>{jsdata.day[997].sumAbsences}</t>
  </si>
  <si>
    <t>{jsdata.day[997].sumPresences}</t>
  </si>
  <si>
    <t>{jsdata.day[998].target}</t>
  </si>
  <si>
    <t>{jsdata.day[998].sumAbsences}</t>
  </si>
  <si>
    <t>{jsdata.day[998].sumPresences}</t>
  </si>
  <si>
    <t>{jsdata.day[999].target}</t>
  </si>
  <si>
    <t>{jsdata.day[999].sumAbsences}</t>
  </si>
  <si>
    <t>{jsdata.day[999].sumPresences}</t>
  </si>
  <si>
    <t>{jsdata.day[1000].target}</t>
  </si>
  <si>
    <t>{jsdata.day[1000].sumAbsences}</t>
  </si>
  <si>
    <t>{jsdata.day[1000].sumPresences}</t>
  </si>
  <si>
    <t>{jsdata.day[1001].target}</t>
  </si>
  <si>
    <t>{jsdata.day[1001].sumAbsences}</t>
  </si>
  <si>
    <t>{jsdata.day[1001].sumPresences}</t>
  </si>
  <si>
    <t>{jsdata.day[1002].target}</t>
  </si>
  <si>
    <t>{jsdata.day[1002].sumAbsences}</t>
  </si>
  <si>
    <t>{jsdata.day[1002].sumPresences}</t>
  </si>
  <si>
    <t>{jsdata.day[1003].target}</t>
  </si>
  <si>
    <t>{jsdata.day[1003].sumAbsences}</t>
  </si>
  <si>
    <t>{jsdata.day[1003].sumPresences}</t>
  </si>
  <si>
    <t>{jsdata.day[1004].target}</t>
  </si>
  <si>
    <t>{jsdata.day[1004].sumAbsences}</t>
  </si>
  <si>
    <t>{jsdata.day[1004].sumPresences}</t>
  </si>
  <si>
    <t>{jsdata.day[1005].target}</t>
  </si>
  <si>
    <t>{jsdata.day[1005].sumAbsences}</t>
  </si>
  <si>
    <t>{jsdata.day[1005].sumPresences}</t>
  </si>
  <si>
    <t>{jsdata.day[1006].target}</t>
  </si>
  <si>
    <t>{jsdata.day[1006].sumAbsences}</t>
  </si>
  <si>
    <t>{jsdata.day[1006].sumPresences}</t>
  </si>
  <si>
    <t>{jsdata.day[1007].target}</t>
  </si>
  <si>
    <t>{jsdata.day[1007].sumAbsences}</t>
  </si>
  <si>
    <t>{jsdata.day[1007].sumPresences}</t>
  </si>
  <si>
    <t>{jsdata.day[1008].target}</t>
  </si>
  <si>
    <t>{jsdata.day[1008].sumAbsences}</t>
  </si>
  <si>
    <t>{jsdata.day[1008].sumPresences}</t>
  </si>
  <si>
    <t>{jsdata.day[1009].target}</t>
  </si>
  <si>
    <t>{jsdata.day[1009].sumAbsences}</t>
  </si>
  <si>
    <t>{jsdata.day[1009].sumPresences}</t>
  </si>
  <si>
    <t>{jsdata.day[1010].target}</t>
  </si>
  <si>
    <t>{jsdata.day[1010].sumAbsences}</t>
  </si>
  <si>
    <t>{jsdata.day[1010].sumPresences}</t>
  </si>
  <si>
    <t>{jsdata.day[1011].target}</t>
  </si>
  <si>
    <t>{jsdata.day[1011].sumAbsences}</t>
  </si>
  <si>
    <t>{jsdata.day[1011].sumPresences}</t>
  </si>
  <si>
    <t>{jsdata.day[1012].target}</t>
  </si>
  <si>
    <t>{jsdata.day[1012].sumAbsences}</t>
  </si>
  <si>
    <t>{jsdata.day[1012].sumPresences}</t>
  </si>
  <si>
    <t>{jsdata.day[1013].target}</t>
  </si>
  <si>
    <t>{jsdata.day[1013].sumAbsences}</t>
  </si>
  <si>
    <t>{jsdata.day[1013].sumPresences}</t>
  </si>
  <si>
    <t>{jsdata.day[1014].target}</t>
  </si>
  <si>
    <t>{jsdata.day[1014].sumAbsences}</t>
  </si>
  <si>
    <t>{jsdata.day[1014].sumPresences}</t>
  </si>
  <si>
    <t>{jsdata.day[1015].target}</t>
  </si>
  <si>
    <t>{jsdata.day[1015].sumAbsences}</t>
  </si>
  <si>
    <t>{jsdata.day[1015].sumPresences}</t>
  </si>
  <si>
    <t>{jsdata.day[1016].target}</t>
  </si>
  <si>
    <t>{jsdata.day[1016].sumAbsences}</t>
  </si>
  <si>
    <t>{jsdata.day[1016].sumPresences}</t>
  </si>
  <si>
    <t>{jsdata.day[1017].target}</t>
  </si>
  <si>
    <t>{jsdata.day[1017].sumAbsences}</t>
  </si>
  <si>
    <t>{jsdata.day[1017].sumPresences}</t>
  </si>
  <si>
    <t>{jsdata.day[1018].target}</t>
  </si>
  <si>
    <t>{jsdata.day[1018].sumAbsences}</t>
  </si>
  <si>
    <t>{jsdata.day[1018].sumPresences}</t>
  </si>
  <si>
    <t>{jsdata.day[1019].target}</t>
  </si>
  <si>
    <t>{jsdata.day[1019].sumAbsences}</t>
  </si>
  <si>
    <t>{jsdata.day[1019].sumPresences}</t>
  </si>
  <si>
    <t>{jsdata.day[1020].target}</t>
  </si>
  <si>
    <t>{jsdata.day[1020].sumAbsences}</t>
  </si>
  <si>
    <t>{jsdata.day[1020].sumPresences}</t>
  </si>
  <si>
    <t>{jsdata.day[1021].target}</t>
  </si>
  <si>
    <t>{jsdata.day[1021].sumAbsences}</t>
  </si>
  <si>
    <t>{jsdata.day[1021].sumPresences}</t>
  </si>
  <si>
    <t>{jsdata.day[1022].target}</t>
  </si>
  <si>
    <t>{jsdata.day[1022].sumAbsences}</t>
  </si>
  <si>
    <t>{jsdata.day[1022].sumPresences}</t>
  </si>
  <si>
    <t>{jsdata.day[1023].target}</t>
  </si>
  <si>
    <t>{jsdata.day[1023].sumAbsences}</t>
  </si>
  <si>
    <t>{jsdata.day[1023].sumPresences}</t>
  </si>
  <si>
    <t>{jsdata.day[1024].target}</t>
  </si>
  <si>
    <t>{jsdata.day[1024].sumAbsences}</t>
  </si>
  <si>
    <t>{jsdata.day[1024].sumPresences}</t>
  </si>
  <si>
    <t>{jsdata.day[1025].target}</t>
  </si>
  <si>
    <t>{jsdata.day[1025].sumAbsences}</t>
  </si>
  <si>
    <t>{jsdata.day[1025].sumPresences}</t>
  </si>
  <si>
    <t>{jsdata.day[1026].target}</t>
  </si>
  <si>
    <t>{jsdata.day[1026].sumAbsences}</t>
  </si>
  <si>
    <t>{jsdata.day[1026].sumPresences}</t>
  </si>
  <si>
    <t>{jsdata.day[1027].target}</t>
  </si>
  <si>
    <t>{jsdata.day[1027].sumAbsences}</t>
  </si>
  <si>
    <t>{jsdata.day[1027].sumPresences}</t>
  </si>
  <si>
    <t>{jsdata.day[1028].target}</t>
  </si>
  <si>
    <t>{jsdata.day[1028].sumAbsences}</t>
  </si>
  <si>
    <t>{jsdata.day[1028].sumPresences}</t>
  </si>
  <si>
    <t>{jsdata.day[1029].target}</t>
  </si>
  <si>
    <t>{jsdata.day[1029].sumAbsences}</t>
  </si>
  <si>
    <t>{jsdata.day[1029].sumPresences}</t>
  </si>
  <si>
    <t>{jsdata.day[1030].target}</t>
  </si>
  <si>
    <t>{jsdata.day[1030].sumAbsences}</t>
  </si>
  <si>
    <t>{jsdata.day[1030].sumPresences}</t>
  </si>
  <si>
    <t>{jsdata.day[1031].target}</t>
  </si>
  <si>
    <t>{jsdata.day[1031].sumAbsences}</t>
  </si>
  <si>
    <t>{jsdata.day[1031].sumPresences}</t>
  </si>
  <si>
    <t>{jsdata.day[1032].target}</t>
  </si>
  <si>
    <t>{jsdata.day[1032].sumAbsences}</t>
  </si>
  <si>
    <t>{jsdata.day[1032].sumPresences}</t>
  </si>
  <si>
    <t>{jsdata.day[1033].target}</t>
  </si>
  <si>
    <t>{jsdata.day[1033].sumAbsences}</t>
  </si>
  <si>
    <t>{jsdata.day[1033].sumPresences}</t>
  </si>
  <si>
    <t>{jsdata.day[1034].target}</t>
  </si>
  <si>
    <t>{jsdata.day[1034].sumAbsences}</t>
  </si>
  <si>
    <t>{jsdata.day[1034].sumPresences}</t>
  </si>
  <si>
    <t>{jsdata.day[1035].target}</t>
  </si>
  <si>
    <t>{jsdata.day[1035].sumAbsences}</t>
  </si>
  <si>
    <t>{jsdata.day[1035].sumPresences}</t>
  </si>
  <si>
    <t>{jsdata.day[1036].target}</t>
  </si>
  <si>
    <t>{jsdata.day[1036].sumAbsences}</t>
  </si>
  <si>
    <t>{jsdata.day[1036].sumPresences}</t>
  </si>
  <si>
    <t>{jsdata.day[1037].target}</t>
  </si>
  <si>
    <t>{jsdata.day[1037].sumAbsences}</t>
  </si>
  <si>
    <t>{jsdata.day[1037].sumPresences}</t>
  </si>
  <si>
    <t>{jsdata.day[1038].target}</t>
  </si>
  <si>
    <t>{jsdata.day[1038].sumAbsences}</t>
  </si>
  <si>
    <t>{jsdata.day[1038].sumPresences}</t>
  </si>
  <si>
    <t>{jsdata.day[1039].target}</t>
  </si>
  <si>
    <t>{jsdata.day[1039].sumAbsences}</t>
  </si>
  <si>
    <t>{jsdata.day[1039].sumPresences}</t>
  </si>
  <si>
    <t>{jsdata.day[1040].target}</t>
  </si>
  <si>
    <t>{jsdata.day[1040].sumAbsences}</t>
  </si>
  <si>
    <t>{jsdata.day[1040].sumPresences}</t>
  </si>
  <si>
    <t>{jsdata.day[1041].target}</t>
  </si>
  <si>
    <t>{jsdata.day[1041].sumAbsences}</t>
  </si>
  <si>
    <t>{jsdata.day[1041].sumPresences}</t>
  </si>
  <si>
    <t>{jsdata.day[1042].target}</t>
  </si>
  <si>
    <t>{jsdata.day[1042].sumAbsences}</t>
  </si>
  <si>
    <t>{jsdata.day[1042].sumPresences}</t>
  </si>
  <si>
    <t>{jsdata.day[1043].target}</t>
  </si>
  <si>
    <t>{jsdata.day[1043].sumAbsences}</t>
  </si>
  <si>
    <t>{jsdata.day[1043].sumPresences}</t>
  </si>
  <si>
    <t>{jsdata.day[1044].target}</t>
  </si>
  <si>
    <t>{jsdata.day[1044].sumAbsences}</t>
  </si>
  <si>
    <t>{jsdata.day[1044].sumPresences}</t>
  </si>
  <si>
    <t>{jsdata.day[1045].target}</t>
  </si>
  <si>
    <t>{jsdata.day[1045].sumAbsences}</t>
  </si>
  <si>
    <t>{jsdata.day[1045].sumPresences}</t>
  </si>
  <si>
    <t>{jsdata.day[1046].target}</t>
  </si>
  <si>
    <t>{jsdata.day[1046].sumAbsences}</t>
  </si>
  <si>
    <t>{jsdata.day[1046].sumPresences}</t>
  </si>
  <si>
    <t>{jsdata.day[1047].target}</t>
  </si>
  <si>
    <t>{jsdata.day[1047].sumAbsences}</t>
  </si>
  <si>
    <t>{jsdata.day[1047].sumPresences}</t>
  </si>
  <si>
    <t>{jsdata.day[1048].target}</t>
  </si>
  <si>
    <t>{jsdata.day[1048].sumAbsences}</t>
  </si>
  <si>
    <t>{jsdata.day[1048].sumPresences}</t>
  </si>
  <si>
    <t>{jsdata.day[1049].target}</t>
  </si>
  <si>
    <t>{jsdata.day[1049].sumAbsences}</t>
  </si>
  <si>
    <t>{jsdata.day[1049].sumPresences}</t>
  </si>
  <si>
    <t>{jsdata.day[1050].target}</t>
  </si>
  <si>
    <t>{jsdata.day[1050].sumAbsences}</t>
  </si>
  <si>
    <t>{jsdata.day[1050].sumPresences}</t>
  </si>
  <si>
    <t>{jsdata.day[1051].target}</t>
  </si>
  <si>
    <t>{jsdata.day[1051].sumAbsences}</t>
  </si>
  <si>
    <t>{jsdata.day[1051].sumPresences}</t>
  </si>
  <si>
    <t>{jsdata.day[1052].target}</t>
  </si>
  <si>
    <t>{jsdata.day[1052].sumAbsences}</t>
  </si>
  <si>
    <t>{jsdata.day[1052].sumPresences}</t>
  </si>
  <si>
    <t>{jsdata.day[1053].target}</t>
  </si>
  <si>
    <t>{jsdata.day[1053].sumAbsences}</t>
  </si>
  <si>
    <t>{jsdata.day[1053].sumPresences}</t>
  </si>
  <si>
    <t>{jsdata.day[1054].target}</t>
  </si>
  <si>
    <t>{jsdata.day[1054].sumAbsences}</t>
  </si>
  <si>
    <t>{jsdata.day[1054].sumPresences}</t>
  </si>
  <si>
    <t>{jsdata.day[1055].target}</t>
  </si>
  <si>
    <t>{jsdata.day[1055].sumAbsences}</t>
  </si>
  <si>
    <t>{jsdata.day[1055].sumPresences}</t>
  </si>
  <si>
    <t>{jsdata.day[1056].target}</t>
  </si>
  <si>
    <t>{jsdata.day[1056].sumAbsences}</t>
  </si>
  <si>
    <t>{jsdata.day[1056].sumPresences}</t>
  </si>
  <si>
    <t>{jsdata.day[1057].target}</t>
  </si>
  <si>
    <t>{jsdata.day[1057].sumAbsences}</t>
  </si>
  <si>
    <t>{jsdata.day[1057].sumPresences}</t>
  </si>
  <si>
    <t>{jsdata.day[1058].target}</t>
  </si>
  <si>
    <t>{jsdata.day[1058].sumAbsences}</t>
  </si>
  <si>
    <t>{jsdata.day[1058].sumPresences}</t>
  </si>
  <si>
    <t>{jsdata.day[1059].target}</t>
  </si>
  <si>
    <t>{jsdata.day[1059].sumAbsences}</t>
  </si>
  <si>
    <t>{jsdata.day[1059].sumPresences}</t>
  </si>
  <si>
    <t>{jsdata.day[1060].target}</t>
  </si>
  <si>
    <t>{jsdata.day[1060].sumAbsences}</t>
  </si>
  <si>
    <t>{jsdata.day[1060].sumPresences}</t>
  </si>
  <si>
    <t>{jsdata.day[1061].target}</t>
  </si>
  <si>
    <t>{jsdata.day[1061].sumAbsences}</t>
  </si>
  <si>
    <t>{jsdata.day[1061].sumPresences}</t>
  </si>
  <si>
    <t>{jsdata.day[1062].target}</t>
  </si>
  <si>
    <t>{jsdata.day[1062].sumAbsences}</t>
  </si>
  <si>
    <t>{jsdata.day[1062].sumPresences}</t>
  </si>
  <si>
    <t>{jsdata.day[1063].target}</t>
  </si>
  <si>
    <t>{jsdata.day[1063].sumAbsences}</t>
  </si>
  <si>
    <t>{jsdata.day[1063].sumPresences}</t>
  </si>
  <si>
    <t>{jsdata.day[1064].target}</t>
  </si>
  <si>
    <t>{jsdata.day[1064].sumAbsences}</t>
  </si>
  <si>
    <t>{jsdata.day[1064].sumPresences}</t>
  </si>
  <si>
    <t>{jsdata.day[1065].target}</t>
  </si>
  <si>
    <t>{jsdata.day[1065].sumAbsences}</t>
  </si>
  <si>
    <t>{jsdata.day[1065].sumPresences}</t>
  </si>
  <si>
    <t>{jsdata.day[1066].target}</t>
  </si>
  <si>
    <t>{jsdata.day[1066].sumAbsences}</t>
  </si>
  <si>
    <t>{jsdata.day[1066].sumPresences}</t>
  </si>
  <si>
    <t>{jsdata.day[1067].target}</t>
  </si>
  <si>
    <t>{jsdata.day[1067].sumAbsences}</t>
  </si>
  <si>
    <t>{jsdata.day[1067].sumPresences}</t>
  </si>
  <si>
    <t>{jsdata.day[1068].target}</t>
  </si>
  <si>
    <t>{jsdata.day[1068].sumAbsences}</t>
  </si>
  <si>
    <t>{jsdata.day[1068].sumPresences}</t>
  </si>
  <si>
    <t>{jsdata.day[1069].target}</t>
  </si>
  <si>
    <t>{jsdata.day[1069].sumAbsences}</t>
  </si>
  <si>
    <t>{jsdata.day[1069].sumPresences}</t>
  </si>
  <si>
    <t>{jsdata.day[1070].target}</t>
  </si>
  <si>
    <t>{jsdata.day[1070].sumAbsences}</t>
  </si>
  <si>
    <t>{jsdata.day[1070].sumPresences}</t>
  </si>
  <si>
    <t>{jsdata.day[1071].target}</t>
  </si>
  <si>
    <t>{jsdata.day[1071].sumAbsences}</t>
  </si>
  <si>
    <t>{jsdata.day[1071].sumPresences}</t>
  </si>
  <si>
    <t>{jsdata.day[1072].target}</t>
  </si>
  <si>
    <t>{jsdata.day[1072].sumAbsences}</t>
  </si>
  <si>
    <t>{jsdata.day[1072].sumPresences}</t>
  </si>
  <si>
    <t>{jsdata.day[1073].target}</t>
  </si>
  <si>
    <t>{jsdata.day[1073].sumAbsences}</t>
  </si>
  <si>
    <t>{jsdata.day[1073].sumPresences}</t>
  </si>
  <si>
    <t>{jsdata.day[1074].target}</t>
  </si>
  <si>
    <t>{jsdata.day[1074].sumAbsences}</t>
  </si>
  <si>
    <t>{jsdata.day[1074].sumPresences}</t>
  </si>
  <si>
    <t>{jsdata.day[1075].target}</t>
  </si>
  <si>
    <t>{jsdata.day[1075].sumAbsences}</t>
  </si>
  <si>
    <t>{jsdata.day[1075].sumPresences}</t>
  </si>
  <si>
    <t>{jsdata.day[1076].target}</t>
  </si>
  <si>
    <t>{jsdata.day[1076].sumAbsences}</t>
  </si>
  <si>
    <t>{jsdata.day[1076].sumPresences}</t>
  </si>
  <si>
    <t>{jsdata.day[1077].target}</t>
  </si>
  <si>
    <t>{jsdata.day[1077].sumAbsences}</t>
  </si>
  <si>
    <t>{jsdata.day[1077].sumPresences}</t>
  </si>
  <si>
    <t>{jsdata.day[1078].target}</t>
  </si>
  <si>
    <t>{jsdata.day[1078].sumAbsences}</t>
  </si>
  <si>
    <t>{jsdata.day[1078].sumPresences}</t>
  </si>
  <si>
    <t>{jsdata.day[1079].target}</t>
  </si>
  <si>
    <t>{jsdata.day[1079].sumAbsences}</t>
  </si>
  <si>
    <t>{jsdata.day[1079].sumPresences}</t>
  </si>
  <si>
    <t>{jsdata.day[1080].target}</t>
  </si>
  <si>
    <t>{jsdata.day[1080].sumAbsences}</t>
  </si>
  <si>
    <t>{jsdata.day[1080].sumPresences}</t>
  </si>
  <si>
    <t>{jsdata.day[1081].target}</t>
  </si>
  <si>
    <t>{jsdata.day[1081].sumAbsences}</t>
  </si>
  <si>
    <t>{jsdata.day[1081].sumPresences}</t>
  </si>
  <si>
    <t>{jsdata.day[1082].target}</t>
  </si>
  <si>
    <t>{jsdata.day[1082].sumAbsences}</t>
  </si>
  <si>
    <t>{jsdata.day[1082].sumPresences}</t>
  </si>
  <si>
    <t>{jsdata.day[1083].target}</t>
  </si>
  <si>
    <t>{jsdata.day[1083].sumAbsences}</t>
  </si>
  <si>
    <t>{jsdata.day[1083].sumPresences}</t>
  </si>
  <si>
    <t>{jsdata.day[1084].target}</t>
  </si>
  <si>
    <t>{jsdata.day[1084].sumAbsences}</t>
  </si>
  <si>
    <t>{jsdata.day[1084].sumPresences}</t>
  </si>
  <si>
    <t>{jsdata.day[1085].target}</t>
  </si>
  <si>
    <t>{jsdata.day[1085].sumAbsences}</t>
  </si>
  <si>
    <t>{jsdata.day[1085].sumPresences}</t>
  </si>
  <si>
    <t>{jsdata.day[1086].target}</t>
  </si>
  <si>
    <t>{jsdata.day[1086].sumAbsences}</t>
  </si>
  <si>
    <t>{jsdata.day[1086].sumPresences}</t>
  </si>
  <si>
    <t>{jsdata.day[1087].target}</t>
  </si>
  <si>
    <t>{jsdata.day[1087].sumAbsences}</t>
  </si>
  <si>
    <t>{jsdata.day[1087].sumPresences}</t>
  </si>
  <si>
    <t>{jsdata.day[1088].target}</t>
  </si>
  <si>
    <t>{jsdata.day[1088].sumAbsences}</t>
  </si>
  <si>
    <t>{jsdata.day[1088].sumPresences}</t>
  </si>
  <si>
    <t>{jsdata.day[1089].target}</t>
  </si>
  <si>
    <t>{jsdata.day[1089].sumAbsences}</t>
  </si>
  <si>
    <t>{jsdata.day[1089].sumPresences}</t>
  </si>
  <si>
    <t>{jsdata.day[1090].target}</t>
  </si>
  <si>
    <t>{jsdata.day[1090].sumAbsences}</t>
  </si>
  <si>
    <t>{jsdata.day[1090].sumPresences}</t>
  </si>
  <si>
    <t>{jsdata.day[1091].target}</t>
  </si>
  <si>
    <t>{jsdata.day[1091].sumAbsences}</t>
  </si>
  <si>
    <t>{jsdata.day[1091].sumPresences}</t>
  </si>
  <si>
    <t>{jsdata.day[1092].target}</t>
  </si>
  <si>
    <t>{jsdata.day[1092].sumAbsences}</t>
  </si>
  <si>
    <t>{jsdata.day[1092].sumPresences}</t>
  </si>
  <si>
    <t>{jsdata.day[1093].target}</t>
  </si>
  <si>
    <t>{jsdata.day[1093].sumAbsences}</t>
  </si>
  <si>
    <t>{jsdata.day[1093].sumPresences}</t>
  </si>
  <si>
    <t>{jsdata.day[1094].target}</t>
  </si>
  <si>
    <t>{jsdata.day[1094].sumAbsences}</t>
  </si>
  <si>
    <t>{jsdata.day[1094].sumPresences}</t>
  </si>
  <si>
    <t>{jsdata.day[1095].target}</t>
  </si>
  <si>
    <t>{jsdata.day[1095].sumAbsences}</t>
  </si>
  <si>
    <t>{jsdata.day[1095].sumPresences}</t>
  </si>
  <si>
    <t>clocking</t>
  </si>
  <si>
    <t>{jsdata.clocking[0].date}</t>
  </si>
  <si>
    <t>{jsdata.clocking[0].clocking}</t>
  </si>
  <si>
    <t>{jsdata.clocking[1].date}</t>
  </si>
  <si>
    <t>{jsdata.clocking[1].clocking}</t>
  </si>
  <si>
    <t>{jsdata.clocking[2].date}</t>
  </si>
  <si>
    <t>{jsdata.clocking[2].clocking}</t>
  </si>
  <si>
    <t>{jsdata.clocking[3].date}</t>
  </si>
  <si>
    <t>{jsdata.clocking[3].clocking}</t>
  </si>
  <si>
    <t>{jsdata.clocking[4].date}</t>
  </si>
  <si>
    <t>{jsdata.clocking[4].clocking}</t>
  </si>
  <si>
    <t>{jsdata.clocking[5].date}</t>
  </si>
  <si>
    <t>{jsdata.clocking[5].clocking}</t>
  </si>
  <si>
    <t>{jsdata.clocking[6].date}</t>
  </si>
  <si>
    <t>{jsdata.clocking[6].clocking}</t>
  </si>
  <si>
    <t>{jsdata.clocking[7].date}</t>
  </si>
  <si>
    <t>{jsdata.clocking[7].clocking}</t>
  </si>
  <si>
    <t>{jsdata.clocking[8].date}</t>
  </si>
  <si>
    <t>{jsdata.clocking[8].clocking}</t>
  </si>
  <si>
    <t>{jsdata.clocking[9].date}</t>
  </si>
  <si>
    <t>{jsdata.clocking[9].clocking}</t>
  </si>
  <si>
    <t>{jsdata.clocking[10].date}</t>
  </si>
  <si>
    <t>{jsdata.clocking[10].clocking}</t>
  </si>
  <si>
    <t>{jsdata.clocking[11].date}</t>
  </si>
  <si>
    <t>{jsdata.clocking[11].clocking}</t>
  </si>
  <si>
    <t>{jsdata.clocking[12].date}</t>
  </si>
  <si>
    <t>{jsdata.clocking[12].clocking}</t>
  </si>
  <si>
    <t>{jsdata.clocking[13].date}</t>
  </si>
  <si>
    <t>{jsdata.clocking[13].clocking}</t>
  </si>
  <si>
    <t>{jsdata.clocking[14].date}</t>
  </si>
  <si>
    <t>{jsdata.clocking[14].clocking}</t>
  </si>
  <si>
    <t>{jsdata.clocking[15].date}</t>
  </si>
  <si>
    <t>{jsdata.clocking[15].clocking}</t>
  </si>
  <si>
    <t>{jsdata.clocking[16].date}</t>
  </si>
  <si>
    <t>{jsdata.clocking[16].clocking}</t>
  </si>
  <si>
    <t>{jsdata.clocking[17].date}</t>
  </si>
  <si>
    <t>{jsdata.clocking[17].clocking}</t>
  </si>
  <si>
    <t>{jsdata.clocking[18].date}</t>
  </si>
  <si>
    <t>{jsdata.clocking[18].clocking}</t>
  </si>
  <si>
    <t>{jsdata.clocking[19].date}</t>
  </si>
  <si>
    <t>{jsdata.clocking[19].clocking}</t>
  </si>
  <si>
    <t>{jsdata.clocking[20].date}</t>
  </si>
  <si>
    <t>{jsdata.clocking[20].clocking}</t>
  </si>
  <si>
    <t>{jsdata.clocking[21].date}</t>
  </si>
  <si>
    <t>{jsdata.clocking[21].clocking}</t>
  </si>
  <si>
    <t>{jsdata.clocking[22].date}</t>
  </si>
  <si>
    <t>{jsdata.clocking[22].clocking}</t>
  </si>
  <si>
    <t>{jsdata.clocking[23].date}</t>
  </si>
  <si>
    <t>{jsdata.clocking[23].clocking}</t>
  </si>
  <si>
    <t>{jsdata.clocking[24].date}</t>
  </si>
  <si>
    <t>{jsdata.clocking[24].clocking}</t>
  </si>
  <si>
    <t>{jsdata.clocking[25].date}</t>
  </si>
  <si>
    <t>{jsdata.clocking[25].clocking}</t>
  </si>
  <si>
    <t>{jsdata.clocking[26].date}</t>
  </si>
  <si>
    <t>{jsdata.clocking[26].clocking}</t>
  </si>
  <si>
    <t>{jsdata.clocking[27].date}</t>
  </si>
  <si>
    <t>{jsdata.clocking[27].clocking}</t>
  </si>
  <si>
    <t>{jsdata.clocking[28].date}</t>
  </si>
  <si>
    <t>{jsdata.clocking[28].clocking}</t>
  </si>
  <si>
    <t>{jsdata.clocking[29].date}</t>
  </si>
  <si>
    <t>{jsdata.clocking[29].clocking}</t>
  </si>
  <si>
    <t>{jsdata.clocking[30].date}</t>
  </si>
  <si>
    <t>{jsdata.clocking[30].clocking}</t>
  </si>
  <si>
    <t>{jsdata.clocking[31].date}</t>
  </si>
  <si>
    <t>{jsdata.clocking[31].clocking}</t>
  </si>
  <si>
    <t>{jsdata.clocking[32].date}</t>
  </si>
  <si>
    <t>{jsdata.clocking[32].clocking}</t>
  </si>
  <si>
    <t>{jsdata.clocking[33].date}</t>
  </si>
  <si>
    <t>{jsdata.clocking[33].clocking}</t>
  </si>
  <si>
    <t>{jsdata.clocking[34].date}</t>
  </si>
  <si>
    <t>{jsdata.clocking[34].clocking}</t>
  </si>
  <si>
    <t>{jsdata.clocking[35].date}</t>
  </si>
  <si>
    <t>{jsdata.clocking[35].clocking}</t>
  </si>
  <si>
    <t>{jsdata.clocking[36].date}</t>
  </si>
  <si>
    <t>{jsdata.clocking[36].clocking}</t>
  </si>
  <si>
    <t>{jsdata.clocking[37].date}</t>
  </si>
  <si>
    <t>{jsdata.clocking[37].clocking}</t>
  </si>
  <si>
    <t>{jsdata.clocking[38].date}</t>
  </si>
  <si>
    <t>{jsdata.clocking[38].clocking}</t>
  </si>
  <si>
    <t>{jsdata.clocking[39].date}</t>
  </si>
  <si>
    <t>{jsdata.clocking[39].clocking}</t>
  </si>
  <si>
    <t>{jsdata.clocking[40].date}</t>
  </si>
  <si>
    <t>{jsdata.clocking[40].clocking}</t>
  </si>
  <si>
    <t>{jsdata.clocking[41].date}</t>
  </si>
  <si>
    <t>{jsdata.clocking[41].clocking}</t>
  </si>
  <si>
    <t>{jsdata.clocking[42].date}</t>
  </si>
  <si>
    <t>{jsdata.clocking[42].clocking}</t>
  </si>
  <si>
    <t>{jsdata.clocking[43].date}</t>
  </si>
  <si>
    <t>{jsdata.clocking[43].clocking}</t>
  </si>
  <si>
    <t>{jsdata.clocking[44].date}</t>
  </si>
  <si>
    <t>{jsdata.clocking[44].clocking}</t>
  </si>
  <si>
    <t>{jsdata.clocking[45].date}</t>
  </si>
  <si>
    <t>{jsdata.clocking[45].clocking}</t>
  </si>
  <si>
    <t>{jsdata.clocking[46].date}</t>
  </si>
  <si>
    <t>{jsdata.clocking[46].clocking}</t>
  </si>
  <si>
    <t>{jsdata.clocking[47].date}</t>
  </si>
  <si>
    <t>{jsdata.clocking[47].clocking}</t>
  </si>
  <si>
    <t>{jsdata.clocking[48].date}</t>
  </si>
  <si>
    <t>{jsdata.clocking[48].clocking}</t>
  </si>
  <si>
    <t>{jsdata.clocking[49].date}</t>
  </si>
  <si>
    <t>{jsdata.clocking[49].clocking}</t>
  </si>
  <si>
    <t>{jsdata.clocking[50].date}</t>
  </si>
  <si>
    <t>{jsdata.clocking[50].clocking}</t>
  </si>
  <si>
    <t>{jsdata.clocking[51].date}</t>
  </si>
  <si>
    <t>{jsdata.clocking[51].clocking}</t>
  </si>
  <si>
    <t>{jsdata.clocking[52].date}</t>
  </si>
  <si>
    <t>{jsdata.clocking[52].clocking}</t>
  </si>
  <si>
    <t>{jsdata.clocking[53].date}</t>
  </si>
  <si>
    <t>{jsdata.clocking[53].clocking}</t>
  </si>
  <si>
    <t>{jsdata.clocking[54].date}</t>
  </si>
  <si>
    <t>{jsdata.clocking[54].clocking}</t>
  </si>
  <si>
    <t>{jsdata.clocking[55].date}</t>
  </si>
  <si>
    <t>{jsdata.clocking[55].clocking}</t>
  </si>
  <si>
    <t>{jsdata.clocking[56].date}</t>
  </si>
  <si>
    <t>{jsdata.clocking[56].clocking}</t>
  </si>
  <si>
    <t>{jsdata.clocking[57].date}</t>
  </si>
  <si>
    <t>{jsdata.clocking[57].clocking}</t>
  </si>
  <si>
    <t>{jsdata.clocking[58].date}</t>
  </si>
  <si>
    <t>{jsdata.clocking[58].clocking}</t>
  </si>
  <si>
    <t>{jsdata.clocking[59].date}</t>
  </si>
  <si>
    <t>{jsdata.clocking[59].clocking}</t>
  </si>
  <si>
    <t>{jsdata.clocking[60].date}</t>
  </si>
  <si>
    <t>{jsdata.clocking[60].clocking}</t>
  </si>
  <si>
    <t>{jsdata.clocking[61].date}</t>
  </si>
  <si>
    <t>{jsdata.clocking[61].clocking}</t>
  </si>
  <si>
    <t>{jsdata.clocking[62].date}</t>
  </si>
  <si>
    <t>{jsdata.clocking[62].clocking}</t>
  </si>
  <si>
    <t>{jsdata.clocking[63].date}</t>
  </si>
  <si>
    <t>{jsdata.clocking[63].clocking}</t>
  </si>
  <si>
    <t>{jsdata.clocking[64].date}</t>
  </si>
  <si>
    <t>{jsdata.clocking[64].clocking}</t>
  </si>
  <si>
    <t>{jsdata.clocking[65].date}</t>
  </si>
  <si>
    <t>{jsdata.clocking[65].clocking}</t>
  </si>
  <si>
    <t>{jsdata.clocking[66].date}</t>
  </si>
  <si>
    <t>{jsdata.clocking[66].clocking}</t>
  </si>
  <si>
    <t>{jsdata.clocking[67].date}</t>
  </si>
  <si>
    <t>{jsdata.clocking[67].clocking}</t>
  </si>
  <si>
    <t>{jsdata.clocking[68].date}</t>
  </si>
  <si>
    <t>{jsdata.clocking[68].clocking}</t>
  </si>
  <si>
    <t>{jsdata.clocking[69].date}</t>
  </si>
  <si>
    <t>{jsdata.clocking[69].clocking}</t>
  </si>
  <si>
    <t>{jsdata.clocking[70].date}</t>
  </si>
  <si>
    <t>{jsdata.clocking[70].clocking}</t>
  </si>
  <si>
    <t>{jsdata.clocking[71].date}</t>
  </si>
  <si>
    <t>{jsdata.clocking[71].clocking}</t>
  </si>
  <si>
    <t>{jsdata.clocking[72].date}</t>
  </si>
  <si>
    <t>{jsdata.clocking[72].clocking}</t>
  </si>
  <si>
    <t>{jsdata.clocking[73].date}</t>
  </si>
  <si>
    <t>{jsdata.clocking[73].clocking}</t>
  </si>
  <si>
    <t>{jsdata.clocking[74].date}</t>
  </si>
  <si>
    <t>{jsdata.clocking[74].clocking}</t>
  </si>
  <si>
    <t>{jsdata.clocking[75].date}</t>
  </si>
  <si>
    <t>{jsdata.clocking[75].clocking}</t>
  </si>
  <si>
    <t>{jsdata.clocking[76].date}</t>
  </si>
  <si>
    <t>{jsdata.clocking[76].clocking}</t>
  </si>
  <si>
    <t>{jsdata.clocking[77].date}</t>
  </si>
  <si>
    <t>{jsdata.clocking[77].clocking}</t>
  </si>
  <si>
    <t>{jsdata.clocking[78].date}</t>
  </si>
  <si>
    <t>{jsdata.clocking[78].clocking}</t>
  </si>
  <si>
    <t>{jsdata.clocking[79].date}</t>
  </si>
  <si>
    <t>{jsdata.clocking[79].clocking}</t>
  </si>
  <si>
    <t>{jsdata.clocking[80].date}</t>
  </si>
  <si>
    <t>{jsdata.clocking[80].clocking}</t>
  </si>
  <si>
    <t>{jsdata.clocking[81].date}</t>
  </si>
  <si>
    <t>{jsdata.clocking[81].clocking}</t>
  </si>
  <si>
    <t>{jsdata.clocking[82].date}</t>
  </si>
  <si>
    <t>{jsdata.clocking[82].clocking}</t>
  </si>
  <si>
    <t>{jsdata.clocking[83].date}</t>
  </si>
  <si>
    <t>{jsdata.clocking[83].clocking}</t>
  </si>
  <si>
    <t>{jsdata.clocking[84].date}</t>
  </si>
  <si>
    <t>{jsdata.clocking[84].clocking}</t>
  </si>
  <si>
    <t>{jsdata.clocking[85].date}</t>
  </si>
  <si>
    <t>{jsdata.clocking[85].clocking}</t>
  </si>
  <si>
    <t>{jsdata.clocking[86].date}</t>
  </si>
  <si>
    <t>{jsdata.clocking[86].clocking}</t>
  </si>
  <si>
    <t>{jsdata.clocking[87].date}</t>
  </si>
  <si>
    <t>{jsdata.clocking[87].clocking}</t>
  </si>
  <si>
    <t>{jsdata.clocking[88].date}</t>
  </si>
  <si>
    <t>{jsdata.clocking[88].clocking}</t>
  </si>
  <si>
    <t>{jsdata.clocking[89].date}</t>
  </si>
  <si>
    <t>{jsdata.clocking[89].clocking}</t>
  </si>
  <si>
    <t>{jsdata.clocking[90].date}</t>
  </si>
  <si>
    <t>{jsdata.clocking[90].clocking}</t>
  </si>
  <si>
    <t>{jsdata.clocking[91].date}</t>
  </si>
  <si>
    <t>{jsdata.clocking[91].clocking}</t>
  </si>
  <si>
    <t>{jsdata.clocking[92].date}</t>
  </si>
  <si>
    <t>{jsdata.clocking[92].clocking}</t>
  </si>
  <si>
    <t>{jsdata.clocking[93].date}</t>
  </si>
  <si>
    <t>{jsdata.clocking[93].clocking}</t>
  </si>
  <si>
    <t>{jsdata.clocking[94].date}</t>
  </si>
  <si>
    <t>{jsdata.clocking[94].clocking}</t>
  </si>
  <si>
    <t>{jsdata.clocking[95].date}</t>
  </si>
  <si>
    <t>{jsdata.clocking[95].clocking}</t>
  </si>
  <si>
    <t>{jsdata.clocking[96].date}</t>
  </si>
  <si>
    <t>{jsdata.clocking[96].clocking}</t>
  </si>
  <si>
    <t>{jsdata.clocking[97].date}</t>
  </si>
  <si>
    <t>{jsdata.clocking[97].clocking}</t>
  </si>
  <si>
    <t>{jsdata.clocking[98].date}</t>
  </si>
  <si>
    <t>{jsdata.clocking[98].clocking}</t>
  </si>
  <si>
    <t>{jsdata.clocking[99].date}</t>
  </si>
  <si>
    <t>{jsdata.clocking[99].clocking}</t>
  </si>
  <si>
    <t>{jsdata.clocking[100].date}</t>
  </si>
  <si>
    <t>{jsdata.clocking[100].clocking}</t>
  </si>
  <si>
    <t>{jsdata.clocking[101].date}</t>
  </si>
  <si>
    <t>{jsdata.clocking[101].clocking}</t>
  </si>
  <si>
    <t>{jsdata.clocking[102].date}</t>
  </si>
  <si>
    <t>{jsdata.clocking[102].clocking}</t>
  </si>
  <si>
    <t>{jsdata.clocking[103].date}</t>
  </si>
  <si>
    <t>{jsdata.clocking[103].clocking}</t>
  </si>
  <si>
    <t>{jsdata.clocking[104].date}</t>
  </si>
  <si>
    <t>{jsdata.clocking[104].clocking}</t>
  </si>
  <si>
    <t>{jsdata.clocking[105].date}</t>
  </si>
  <si>
    <t>{jsdata.clocking[105].clocking}</t>
  </si>
  <si>
    <t>{jsdata.clocking[106].date}</t>
  </si>
  <si>
    <t>{jsdata.clocking[106].clocking}</t>
  </si>
  <si>
    <t>{jsdata.clocking[107].date}</t>
  </si>
  <si>
    <t>{jsdata.clocking[107].clocking}</t>
  </si>
  <si>
    <t>{jsdata.clocking[108].date}</t>
  </si>
  <si>
    <t>{jsdata.clocking[108].clocking}</t>
  </si>
  <si>
    <t>{jsdata.clocking[109].date}</t>
  </si>
  <si>
    <t>{jsdata.clocking[109].clocking}</t>
  </si>
  <si>
    <t>{jsdata.clocking[110].date}</t>
  </si>
  <si>
    <t>{jsdata.clocking[110].clocking}</t>
  </si>
  <si>
    <t>{jsdata.clocking[111].date}</t>
  </si>
  <si>
    <t>{jsdata.clocking[111].clocking}</t>
  </si>
  <si>
    <t>{jsdata.clocking[112].date}</t>
  </si>
  <si>
    <t>{jsdata.clocking[112].clocking}</t>
  </si>
  <si>
    <t>{jsdata.clocking[113].date}</t>
  </si>
  <si>
    <t>{jsdata.clocking[113].clocking}</t>
  </si>
  <si>
    <t>{jsdata.clocking[114].date}</t>
  </si>
  <si>
    <t>{jsdata.clocking[114].clocking}</t>
  </si>
  <si>
    <t>{jsdata.clocking[115].date}</t>
  </si>
  <si>
    <t>{jsdata.clocking[115].clocking}</t>
  </si>
  <si>
    <t>{jsdata.clocking[116].date}</t>
  </si>
  <si>
    <t>{jsdata.clocking[116].clocking}</t>
  </si>
  <si>
    <t>{jsdata.clocking[117].date}</t>
  </si>
  <si>
    <t>{jsdata.clocking[117].clocking}</t>
  </si>
  <si>
    <t>{jsdata.clocking[118].date}</t>
  </si>
  <si>
    <t>{jsdata.clocking[118].clocking}</t>
  </si>
  <si>
    <t>{jsdata.clocking[119].date}</t>
  </si>
  <si>
    <t>{jsdata.clocking[119].clocking}</t>
  </si>
  <si>
    <t>{jsdata.clocking[120].date}</t>
  </si>
  <si>
    <t>{jsdata.clocking[120].clocking}</t>
  </si>
  <si>
    <t>{jsdata.clocking[121].date}</t>
  </si>
  <si>
    <t>{jsdata.clocking[121].clocking}</t>
  </si>
  <si>
    <t>{jsdata.clocking[122].date}</t>
  </si>
  <si>
    <t>{jsdata.clocking[122].clocking}</t>
  </si>
  <si>
    <t>{jsdata.clocking[123].date}</t>
  </si>
  <si>
    <t>{jsdata.clocking[123].clocking}</t>
  </si>
  <si>
    <t>{jsdata.clocking[124].date}</t>
  </si>
  <si>
    <t>{jsdata.clocking[124].clocking}</t>
  </si>
  <si>
    <t>{jsdata.clocking[125].date}</t>
  </si>
  <si>
    <t>{jsdata.clocking[125].clocking}</t>
  </si>
  <si>
    <t>{jsdata.clocking[126].date}</t>
  </si>
  <si>
    <t>{jsdata.clocking[126].clocking}</t>
  </si>
  <si>
    <t>{jsdata.clocking[127].date}</t>
  </si>
  <si>
    <t>{jsdata.clocking[127].clocking}</t>
  </si>
  <si>
    <t>{jsdata.clocking[128].date}</t>
  </si>
  <si>
    <t>{jsdata.clocking[128].clocking}</t>
  </si>
  <si>
    <t>{jsdata.clocking[129].date}</t>
  </si>
  <si>
    <t>{jsdata.clocking[129].clocking}</t>
  </si>
  <si>
    <t>{jsdata.clocking[130].date}</t>
  </si>
  <si>
    <t>{jsdata.clocking[130].clocking}</t>
  </si>
  <si>
    <t>{jsdata.clocking[131].date}</t>
  </si>
  <si>
    <t>{jsdata.clocking[131].clocking}</t>
  </si>
  <si>
    <t>{jsdata.clocking[132].date}</t>
  </si>
  <si>
    <t>{jsdata.clocking[132].clocking}</t>
  </si>
  <si>
    <t>{jsdata.clocking[133].date}</t>
  </si>
  <si>
    <t>{jsdata.clocking[133].clocking}</t>
  </si>
  <si>
    <t>{jsdata.clocking[134].date}</t>
  </si>
  <si>
    <t>{jsdata.clocking[134].clocking}</t>
  </si>
  <si>
    <t>{jsdata.clocking[135].date}</t>
  </si>
  <si>
    <t>{jsdata.clocking[135].clocking}</t>
  </si>
  <si>
    <t>{jsdata.clocking[136].date}</t>
  </si>
  <si>
    <t>{jsdata.clocking[136].clocking}</t>
  </si>
  <si>
    <t>{jsdata.clocking[137].date}</t>
  </si>
  <si>
    <t>{jsdata.clocking[137].clocking}</t>
  </si>
  <si>
    <t>{jsdata.clocking[138].date}</t>
  </si>
  <si>
    <t>{jsdata.clocking[138].clocking}</t>
  </si>
  <si>
    <t>{jsdata.clocking[139].date}</t>
  </si>
  <si>
    <t>{jsdata.clocking[139].clocking}</t>
  </si>
  <si>
    <t>{jsdata.clocking[140].date}</t>
  </si>
  <si>
    <t>{jsdata.clocking[140].clocking}</t>
  </si>
  <si>
    <t>{jsdata.clocking[141].date}</t>
  </si>
  <si>
    <t>{jsdata.clocking[141].clocking}</t>
  </si>
  <si>
    <t>{jsdata.clocking[142].date}</t>
  </si>
  <si>
    <t>{jsdata.clocking[142].clocking}</t>
  </si>
  <si>
    <t>{jsdata.clocking[143].date}</t>
  </si>
  <si>
    <t>{jsdata.clocking[143].clocking}</t>
  </si>
  <si>
    <t>{jsdata.clocking[144].date}</t>
  </si>
  <si>
    <t>{jsdata.clocking[144].clocking}</t>
  </si>
  <si>
    <t>{jsdata.clocking[145].date}</t>
  </si>
  <si>
    <t>{jsdata.clocking[145].clocking}</t>
  </si>
  <si>
    <t>{jsdata.clocking[146].date}</t>
  </si>
  <si>
    <t>{jsdata.clocking[146].clocking}</t>
  </si>
  <si>
    <t>{jsdata.clocking[147].date}</t>
  </si>
  <si>
    <t>{jsdata.clocking[147].clocking}</t>
  </si>
  <si>
    <t>{jsdata.clocking[148].date}</t>
  </si>
  <si>
    <t>{jsdata.clocking[148].clocking}</t>
  </si>
  <si>
    <t>{jsdata.clocking[149].date}</t>
  </si>
  <si>
    <t>{jsdata.clocking[149].clocking}</t>
  </si>
  <si>
    <t>{jsdata.clocking[150].date}</t>
  </si>
  <si>
    <t>{jsdata.clocking[150].clocking}</t>
  </si>
  <si>
    <t>{jsdata.clocking[151].date}</t>
  </si>
  <si>
    <t>{jsdata.clocking[151].clocking}</t>
  </si>
  <si>
    <t>{jsdata.clocking[152].date}</t>
  </si>
  <si>
    <t>{jsdata.clocking[152].clocking}</t>
  </si>
  <si>
    <t>{jsdata.clocking[153].date}</t>
  </si>
  <si>
    <t>{jsdata.clocking[153].clocking}</t>
  </si>
  <si>
    <t>{jsdata.clocking[154].date}</t>
  </si>
  <si>
    <t>{jsdata.clocking[154].clocking}</t>
  </si>
  <si>
    <t>{jsdata.clocking[155].date}</t>
  </si>
  <si>
    <t>{jsdata.clocking[155].clocking}</t>
  </si>
  <si>
    <t>{jsdata.clocking[156].date}</t>
  </si>
  <si>
    <t>{jsdata.clocking[156].clocking}</t>
  </si>
  <si>
    <t>{jsdata.clocking[157].date}</t>
  </si>
  <si>
    <t>{jsdata.clocking[157].clocking}</t>
  </si>
  <si>
    <t>{jsdata.clocking[158].date}</t>
  </si>
  <si>
    <t>{jsdata.clocking[158].clocking}</t>
  </si>
  <si>
    <t>{jsdata.clocking[159].date}</t>
  </si>
  <si>
    <t>{jsdata.clocking[159].clocking}</t>
  </si>
  <si>
    <t>{jsdata.clocking[160].date}</t>
  </si>
  <si>
    <t>{jsdata.clocking[160].clocking}</t>
  </si>
  <si>
    <t>{jsdata.clocking[161].date}</t>
  </si>
  <si>
    <t>{jsdata.clocking[161].clocking}</t>
  </si>
  <si>
    <t>{jsdata.clocking[162].date}</t>
  </si>
  <si>
    <t>{jsdata.clocking[162].clocking}</t>
  </si>
  <si>
    <t>{jsdata.clocking[163].date}</t>
  </si>
  <si>
    <t>{jsdata.clocking[163].clocking}</t>
  </si>
  <si>
    <t>{jsdata.clocking[164].date}</t>
  </si>
  <si>
    <t>{jsdata.clocking[164].clocking}</t>
  </si>
  <si>
    <t>{jsdata.clocking[165].date}</t>
  </si>
  <si>
    <t>{jsdata.clocking[165].clocking}</t>
  </si>
  <si>
    <t>{jsdata.clocking[166].date}</t>
  </si>
  <si>
    <t>{jsdata.clocking[166].clocking}</t>
  </si>
  <si>
    <t>{jsdata.clocking[167].date}</t>
  </si>
  <si>
    <t>{jsdata.clocking[167].clocking}</t>
  </si>
  <si>
    <t>{jsdata.clocking[168].date}</t>
  </si>
  <si>
    <t>{jsdata.clocking[168].clocking}</t>
  </si>
  <si>
    <t>{jsdata.clocking[169].date}</t>
  </si>
  <si>
    <t>{jsdata.clocking[169].clocking}</t>
  </si>
  <si>
    <t>{jsdata.clocking[170].date}</t>
  </si>
  <si>
    <t>{jsdata.clocking[170].clocking}</t>
  </si>
  <si>
    <t>{jsdata.clocking[171].date}</t>
  </si>
  <si>
    <t>{jsdata.clocking[171].clocking}</t>
  </si>
  <si>
    <t>{jsdata.clocking[172].date}</t>
  </si>
  <si>
    <t>{jsdata.clocking[172].clocking}</t>
  </si>
  <si>
    <t>{jsdata.clocking[173].date}</t>
  </si>
  <si>
    <t>{jsdata.clocking[173].clocking}</t>
  </si>
  <si>
    <t>{jsdata.clocking[174].date}</t>
  </si>
  <si>
    <t>{jsdata.clocking[174].clocking}</t>
  </si>
  <si>
    <t>{jsdata.clocking[175].date}</t>
  </si>
  <si>
    <t>{jsdata.clocking[175].clocking}</t>
  </si>
  <si>
    <t>{jsdata.clocking[176].date}</t>
  </si>
  <si>
    <t>{jsdata.clocking[176].clocking}</t>
  </si>
  <si>
    <t>{jsdata.clocking[177].date}</t>
  </si>
  <si>
    <t>{jsdata.clocking[177].clocking}</t>
  </si>
  <si>
    <t>{jsdata.clocking[178].date}</t>
  </si>
  <si>
    <t>{jsdata.clocking[178].clocking}</t>
  </si>
  <si>
    <t>{jsdata.clocking[179].date}</t>
  </si>
  <si>
    <t>{jsdata.clocking[179].clocking}</t>
  </si>
  <si>
    <t>{jsdata.clocking[180].date}</t>
  </si>
  <si>
    <t>{jsdata.clocking[180].clocking}</t>
  </si>
  <si>
    <t>{jsdata.clocking[181].date}</t>
  </si>
  <si>
    <t>{jsdata.clocking[181].clocking}</t>
  </si>
  <si>
    <t>{jsdata.clocking[182].date}</t>
  </si>
  <si>
    <t>{jsdata.clocking[182].clocking}</t>
  </si>
  <si>
    <t>{jsdata.clocking[183].date}</t>
  </si>
  <si>
    <t>{jsdata.clocking[183].clocking}</t>
  </si>
  <si>
    <t>{jsdata.clocking[184].date}</t>
  </si>
  <si>
    <t>{jsdata.clocking[184].clocking}</t>
  </si>
  <si>
    <t>{jsdata.clocking[185].date}</t>
  </si>
  <si>
    <t>{jsdata.clocking[185].clocking}</t>
  </si>
  <si>
    <t>{jsdata.clocking[186].date}</t>
  </si>
  <si>
    <t>{jsdata.clocking[186].clocking}</t>
  </si>
  <si>
    <t>{jsdata.clocking[187].date}</t>
  </si>
  <si>
    <t>{jsdata.clocking[187].clocking}</t>
  </si>
  <si>
    <t>{jsdata.clocking[188].date}</t>
  </si>
  <si>
    <t>{jsdata.clocking[188].clocking}</t>
  </si>
  <si>
    <t>{jsdata.clocking[189].date}</t>
  </si>
  <si>
    <t>{jsdata.clocking[189].clocking}</t>
  </si>
  <si>
    <t>{jsdata.clocking[190].date}</t>
  </si>
  <si>
    <t>{jsdata.clocking[190].clocking}</t>
  </si>
  <si>
    <t>{jsdata.clocking[191].date}</t>
  </si>
  <si>
    <t>{jsdata.clocking[191].clocking}</t>
  </si>
  <si>
    <t>{jsdata.clocking[192].date}</t>
  </si>
  <si>
    <t>{jsdata.clocking[192].clocking}</t>
  </si>
  <si>
    <t>{jsdata.clocking[193].date}</t>
  </si>
  <si>
    <t>{jsdata.clocking[193].clocking}</t>
  </si>
  <si>
    <t>{jsdata.clocking[194].date}</t>
  </si>
  <si>
    <t>{jsdata.clocking[194].clocking}</t>
  </si>
  <si>
    <t>{jsdata.clocking[195].date}</t>
  </si>
  <si>
    <t>{jsdata.clocking[195].clocking}</t>
  </si>
  <si>
    <t>{jsdata.clocking[196].date}</t>
  </si>
  <si>
    <t>{jsdata.clocking[196].clocking}</t>
  </si>
  <si>
    <t>{jsdata.clocking[197].date}</t>
  </si>
  <si>
    <t>{jsdata.clocking[197].clocking}</t>
  </si>
  <si>
    <t>{jsdata.clocking[198].date}</t>
  </si>
  <si>
    <t>{jsdata.clocking[198].clocking}</t>
  </si>
  <si>
    <t>{jsdata.clocking[199].date}</t>
  </si>
  <si>
    <t>{jsdata.clocking[199].clocking}</t>
  </si>
  <si>
    <t>{jsdata.clocking[200].date}</t>
  </si>
  <si>
    <t>{jsdata.clocking[200].clocking}</t>
  </si>
  <si>
    <t>{jsdata.clocking[201].date}</t>
  </si>
  <si>
    <t>{jsdata.clocking[201].clocking}</t>
  </si>
  <si>
    <t>{jsdata.clocking[202].date}</t>
  </si>
  <si>
    <t>{jsdata.clocking[202].clocking}</t>
  </si>
  <si>
    <t>{jsdata.clocking[203].date}</t>
  </si>
  <si>
    <t>{jsdata.clocking[203].clocking}</t>
  </si>
  <si>
    <t>{jsdata.clocking[204].date}</t>
  </si>
  <si>
    <t>{jsdata.clocking[204].clocking}</t>
  </si>
  <si>
    <t>{jsdata.clocking[205].date}</t>
  </si>
  <si>
    <t>{jsdata.clocking[205].clocking}</t>
  </si>
  <si>
    <t>{jsdata.clocking[206].date}</t>
  </si>
  <si>
    <t>{jsdata.clocking[206].clocking}</t>
  </si>
  <si>
    <t>{jsdata.clocking[207].date}</t>
  </si>
  <si>
    <t>{jsdata.clocking[207].clocking}</t>
  </si>
  <si>
    <t>{jsdata.clocking[208].date}</t>
  </si>
  <si>
    <t>{jsdata.clocking[208].clocking}</t>
  </si>
  <si>
    <t>{jsdata.clocking[209].date}</t>
  </si>
  <si>
    <t>{jsdata.clocking[209].clocking}</t>
  </si>
  <si>
    <t>{jsdata.clocking[210].date}</t>
  </si>
  <si>
    <t>{jsdata.clocking[210].clocking}</t>
  </si>
  <si>
    <t>{jsdata.clocking[211].date}</t>
  </si>
  <si>
    <t>{jsdata.clocking[211].clocking}</t>
  </si>
  <si>
    <t>{jsdata.clocking[212].date}</t>
  </si>
  <si>
    <t>{jsdata.clocking[212].clocking}</t>
  </si>
  <si>
    <t>{jsdata.clocking[213].date}</t>
  </si>
  <si>
    <t>{jsdata.clocking[213].clocking}</t>
  </si>
  <si>
    <t>{jsdata.clocking[214].date}</t>
  </si>
  <si>
    <t>{jsdata.clocking[214].clocking}</t>
  </si>
  <si>
    <t>{jsdata.clocking[215].date}</t>
  </si>
  <si>
    <t>{jsdata.clocking[215].clocking}</t>
  </si>
  <si>
    <t>{jsdata.clocking[216].date}</t>
  </si>
  <si>
    <t>{jsdata.clocking[216].clocking}</t>
  </si>
  <si>
    <t>{jsdata.clocking[217].date}</t>
  </si>
  <si>
    <t>{jsdata.clocking[217].clocking}</t>
  </si>
  <si>
    <t>{jsdata.clocking[218].date}</t>
  </si>
  <si>
    <t>{jsdata.clocking[218].clocking}</t>
  </si>
  <si>
    <t>{jsdata.clocking[219].date}</t>
  </si>
  <si>
    <t>{jsdata.clocking[219].clocking}</t>
  </si>
  <si>
    <t>{jsdata.clocking[220].date}</t>
  </si>
  <si>
    <t>{jsdata.clocking[220].clocking}</t>
  </si>
  <si>
    <t>{jsdata.clocking[221].date}</t>
  </si>
  <si>
    <t>{jsdata.clocking[221].clocking}</t>
  </si>
  <si>
    <t>{jsdata.clocking[222].date}</t>
  </si>
  <si>
    <t>{jsdata.clocking[222].clocking}</t>
  </si>
  <si>
    <t>{jsdata.clocking[223].date}</t>
  </si>
  <si>
    <t>{jsdata.clocking[223].clocking}</t>
  </si>
  <si>
    <t>{jsdata.clocking[224].date}</t>
  </si>
  <si>
    <t>{jsdata.clocking[224].clocking}</t>
  </si>
  <si>
    <t>{jsdata.clocking[225].date}</t>
  </si>
  <si>
    <t>{jsdata.clocking[225].clocking}</t>
  </si>
  <si>
    <t>{jsdata.clocking[226].date}</t>
  </si>
  <si>
    <t>{jsdata.clocking[226].clocking}</t>
  </si>
  <si>
    <t>{jsdata.clocking[227].date}</t>
  </si>
  <si>
    <t>{jsdata.clocking[227].clocking}</t>
  </si>
  <si>
    <t>{jsdata.clocking[228].date}</t>
  </si>
  <si>
    <t>{jsdata.clocking[228].clocking}</t>
  </si>
  <si>
    <t>{jsdata.clocking[229].date}</t>
  </si>
  <si>
    <t>{jsdata.clocking[229].clocking}</t>
  </si>
  <si>
    <t>{jsdata.clocking[230].date}</t>
  </si>
  <si>
    <t>{jsdata.clocking[230].clocking}</t>
  </si>
  <si>
    <t>{jsdata.clocking[231].date}</t>
  </si>
  <si>
    <t>{jsdata.clocking[231].clocking}</t>
  </si>
  <si>
    <t>{jsdata.clocking[232].date}</t>
  </si>
  <si>
    <t>{jsdata.clocking[232].clocking}</t>
  </si>
  <si>
    <t>{jsdata.clocking[233].date}</t>
  </si>
  <si>
    <t>{jsdata.clocking[233].clocking}</t>
  </si>
  <si>
    <t>{jsdata.clocking[234].date}</t>
  </si>
  <si>
    <t>{jsdata.clocking[234].clocking}</t>
  </si>
  <si>
    <t>{jsdata.clocking[235].date}</t>
  </si>
  <si>
    <t>{jsdata.clocking[235].clocking}</t>
  </si>
  <si>
    <t>{jsdata.clocking[236].date}</t>
  </si>
  <si>
    <t>{jsdata.clocking[236].clocking}</t>
  </si>
  <si>
    <t>{jsdata.clocking[237].date}</t>
  </si>
  <si>
    <t>{jsdata.clocking[237].clocking}</t>
  </si>
  <si>
    <t>{jsdata.clocking[238].date}</t>
  </si>
  <si>
    <t>{jsdata.clocking[238].clocking}</t>
  </si>
  <si>
    <t>{jsdata.clocking[239].date}</t>
  </si>
  <si>
    <t>{jsdata.clocking[239].clocking}</t>
  </si>
  <si>
    <t>{jsdata.clocking[240].date}</t>
  </si>
  <si>
    <t>{jsdata.clocking[240].clocking}</t>
  </si>
  <si>
    <t>{jsdata.clocking[241].date}</t>
  </si>
  <si>
    <t>{jsdata.clocking[241].clocking}</t>
  </si>
  <si>
    <t>{jsdata.clocking[242].date}</t>
  </si>
  <si>
    <t>{jsdata.clocking[242].clocking}</t>
  </si>
  <si>
    <t>{jsdata.clocking[243].date}</t>
  </si>
  <si>
    <t>{jsdata.clocking[243].clocking}</t>
  </si>
  <si>
    <t>{jsdata.clocking[244].date}</t>
  </si>
  <si>
    <t>{jsdata.clocking[244].clocking}</t>
  </si>
  <si>
    <t>{jsdata.clocking[245].date}</t>
  </si>
  <si>
    <t>{jsdata.clocking[245].clocking}</t>
  </si>
  <si>
    <t>{jsdata.clocking[246].date}</t>
  </si>
  <si>
    <t>{jsdata.clocking[246].clocking}</t>
  </si>
  <si>
    <t>{jsdata.clocking[247].date}</t>
  </si>
  <si>
    <t>{jsdata.clocking[247].clocking}</t>
  </si>
  <si>
    <t>{jsdata.clocking[248].date}</t>
  </si>
  <si>
    <t>{jsdata.clocking[248].clocking}</t>
  </si>
  <si>
    <t>{jsdata.clocking[249].date}</t>
  </si>
  <si>
    <t>{jsdata.clocking[249].clocking}</t>
  </si>
  <si>
    <t>{jsdata.clocking[250].date}</t>
  </si>
  <si>
    <t>{jsdata.clocking[250].clocking}</t>
  </si>
  <si>
    <t>{jsdata.clocking[251].date}</t>
  </si>
  <si>
    <t>{jsdata.clocking[251].clocking}</t>
  </si>
  <si>
    <t>{jsdata.clocking[252].date}</t>
  </si>
  <si>
    <t>{jsdata.clocking[252].clocking}</t>
  </si>
  <si>
    <t>{jsdata.clocking[253].date}</t>
  </si>
  <si>
    <t>{jsdata.clocking[253].clocking}</t>
  </si>
  <si>
    <t>{jsdata.clocking[254].date}</t>
  </si>
  <si>
    <t>{jsdata.clocking[254].clocking}</t>
  </si>
  <si>
    <t>{jsdata.clocking[255].date}</t>
  </si>
  <si>
    <t>{jsdata.clocking[255].clocking}</t>
  </si>
  <si>
    <t>{jsdata.clocking[256].date}</t>
  </si>
  <si>
    <t>{jsdata.clocking[256].clocking}</t>
  </si>
  <si>
    <t>{jsdata.clocking[257].date}</t>
  </si>
  <si>
    <t>{jsdata.clocking[257].clocking}</t>
  </si>
  <si>
    <t>{jsdata.clocking[258].date}</t>
  </si>
  <si>
    <t>{jsdata.clocking[258].clocking}</t>
  </si>
  <si>
    <t>{jsdata.clocking[259].date}</t>
  </si>
  <si>
    <t>{jsdata.clocking[259].clocking}</t>
  </si>
  <si>
    <t>{jsdata.clocking[260].date}</t>
  </si>
  <si>
    <t>{jsdata.clocking[260].clocking}</t>
  </si>
  <si>
    <t>{jsdata.clocking[261].date}</t>
  </si>
  <si>
    <t>{jsdata.clocking[261].clocking}</t>
  </si>
  <si>
    <t>{jsdata.clocking[262].date}</t>
  </si>
  <si>
    <t>{jsdata.clocking[262].clocking}</t>
  </si>
  <si>
    <t>{jsdata.clocking[263].date}</t>
  </si>
  <si>
    <t>{jsdata.clocking[263].clocking}</t>
  </si>
  <si>
    <t>{jsdata.clocking[264].date}</t>
  </si>
  <si>
    <t>{jsdata.clocking[264].clocking}</t>
  </si>
  <si>
    <t>{jsdata.clocking[265].date}</t>
  </si>
  <si>
    <t>{jsdata.clocking[265].clocking}</t>
  </si>
  <si>
    <t>{jsdata.clocking[266].date}</t>
  </si>
  <si>
    <t>{jsdata.clocking[266].clocking}</t>
  </si>
  <si>
    <t>{jsdata.clocking[267].date}</t>
  </si>
  <si>
    <t>{jsdata.clocking[267].clocking}</t>
  </si>
  <si>
    <t>{jsdata.clocking[268].date}</t>
  </si>
  <si>
    <t>{jsdata.clocking[268].clocking}</t>
  </si>
  <si>
    <t>{jsdata.clocking[269].date}</t>
  </si>
  <si>
    <t>{jsdata.clocking[269].clocking}</t>
  </si>
  <si>
    <t>{jsdata.clocking[270].date}</t>
  </si>
  <si>
    <t>{jsdata.clocking[270].clocking}</t>
  </si>
  <si>
    <t>{jsdata.clocking[271].date}</t>
  </si>
  <si>
    <t>{jsdata.clocking[271].clocking}</t>
  </si>
  <si>
    <t>{jsdata.clocking[272].date}</t>
  </si>
  <si>
    <t>{jsdata.clocking[272].clocking}</t>
  </si>
  <si>
    <t>{jsdata.clocking[273].date}</t>
  </si>
  <si>
    <t>{jsdata.clocking[273].clocking}</t>
  </si>
  <si>
    <t>{jsdata.clocking[274].date}</t>
  </si>
  <si>
    <t>{jsdata.clocking[274].clocking}</t>
  </si>
  <si>
    <t>{jsdata.clocking[275].date}</t>
  </si>
  <si>
    <t>{jsdata.clocking[275].clocking}</t>
  </si>
  <si>
    <t>{jsdata.clocking[276].date}</t>
  </si>
  <si>
    <t>{jsdata.clocking[276].clocking}</t>
  </si>
  <si>
    <t>{jsdata.clocking[277].date}</t>
  </si>
  <si>
    <t>{jsdata.clocking[277].clocking}</t>
  </si>
  <si>
    <t>{jsdata.clocking[278].date}</t>
  </si>
  <si>
    <t>{jsdata.clocking[278].clocking}</t>
  </si>
  <si>
    <t>{jsdata.clocking[279].date}</t>
  </si>
  <si>
    <t>{jsdata.clocking[279].clocking}</t>
  </si>
  <si>
    <t>{jsdata.clocking[280].date}</t>
  </si>
  <si>
    <t>{jsdata.clocking[280].clocking}</t>
  </si>
  <si>
    <t>{jsdata.clocking[281].date}</t>
  </si>
  <si>
    <t>{jsdata.clocking[281].clocking}</t>
  </si>
  <si>
    <t>{jsdata.clocking[282].date}</t>
  </si>
  <si>
    <t>{jsdata.clocking[282].clocking}</t>
  </si>
  <si>
    <t>{jsdata.clocking[283].date}</t>
  </si>
  <si>
    <t>{jsdata.clocking[283].clocking}</t>
  </si>
  <si>
    <t>{jsdata.clocking[284].date}</t>
  </si>
  <si>
    <t>{jsdata.clocking[284].clocking}</t>
  </si>
  <si>
    <t>{jsdata.clocking[285].date}</t>
  </si>
  <si>
    <t>{jsdata.clocking[285].clocking}</t>
  </si>
  <si>
    <t>{jsdata.clocking[286].date}</t>
  </si>
  <si>
    <t>{jsdata.clocking[286].clocking}</t>
  </si>
  <si>
    <t>{jsdata.clocking[287].date}</t>
  </si>
  <si>
    <t>{jsdata.clocking[287].clocking}</t>
  </si>
  <si>
    <t>{jsdata.clocking[288].date}</t>
  </si>
  <si>
    <t>{jsdata.clocking[288].clocking}</t>
  </si>
  <si>
    <t>{jsdata.clocking[289].date}</t>
  </si>
  <si>
    <t>{jsdata.clocking[289].clocking}</t>
  </si>
  <si>
    <t>{jsdata.clocking[290].date}</t>
  </si>
  <si>
    <t>{jsdata.clocking[290].clocking}</t>
  </si>
  <si>
    <t>{jsdata.clocking[291].date}</t>
  </si>
  <si>
    <t>{jsdata.clocking[291].clocking}</t>
  </si>
  <si>
    <t>{jsdata.clocking[292].date}</t>
  </si>
  <si>
    <t>{jsdata.clocking[292].clocking}</t>
  </si>
  <si>
    <t>{jsdata.clocking[293].date}</t>
  </si>
  <si>
    <t>{jsdata.clocking[293].clocking}</t>
  </si>
  <si>
    <t>{jsdata.clocking[294].date}</t>
  </si>
  <si>
    <t>{jsdata.clocking[294].clocking}</t>
  </si>
  <si>
    <t>{jsdata.clocking[295].date}</t>
  </si>
  <si>
    <t>{jsdata.clocking[295].clocking}</t>
  </si>
  <si>
    <t>{jsdata.clocking[296].date}</t>
  </si>
  <si>
    <t>{jsdata.clocking[296].clocking}</t>
  </si>
  <si>
    <t>{jsdata.clocking[297].date}</t>
  </si>
  <si>
    <t>{jsdata.clocking[297].clocking}</t>
  </si>
  <si>
    <t>{jsdata.clocking[298].date}</t>
  </si>
  <si>
    <t>{jsdata.clocking[298].clocking}</t>
  </si>
  <si>
    <t>{jsdata.clocking[299].date}</t>
  </si>
  <si>
    <t>{jsdata.clocking[299].clocking}</t>
  </si>
  <si>
    <t>{jsdata.clocking[300].date}</t>
  </si>
  <si>
    <t>{jsdata.clocking[300].clocking}</t>
  </si>
  <si>
    <t>{jsdata.clocking[301].date}</t>
  </si>
  <si>
    <t>{jsdata.clocking[301].clocking}</t>
  </si>
  <si>
    <t>{jsdata.clocking[302].date}</t>
  </si>
  <si>
    <t>{jsdata.clocking[302].clocking}</t>
  </si>
  <si>
    <t>{jsdata.clocking[303].date}</t>
  </si>
  <si>
    <t>{jsdata.clocking[303].clocking}</t>
  </si>
  <si>
    <t>{jsdata.clocking[304].date}</t>
  </si>
  <si>
    <t>{jsdata.clocking[304].clocking}</t>
  </si>
  <si>
    <t>{jsdata.clocking[305].date}</t>
  </si>
  <si>
    <t>{jsdata.clocking[305].clocking}</t>
  </si>
  <si>
    <t>{jsdata.clocking[306].date}</t>
  </si>
  <si>
    <t>{jsdata.clocking[306].clocking}</t>
  </si>
  <si>
    <t>{jsdata.clocking[307].date}</t>
  </si>
  <si>
    <t>{jsdata.clocking[307].clocking}</t>
  </si>
  <si>
    <t>{jsdata.clocking[308].date}</t>
  </si>
  <si>
    <t>{jsdata.clocking[308].clocking}</t>
  </si>
  <si>
    <t>{jsdata.clocking[309].date}</t>
  </si>
  <si>
    <t>{jsdata.clocking[309].clocking}</t>
  </si>
  <si>
    <t>{jsdata.clocking[310].date}</t>
  </si>
  <si>
    <t>{jsdata.clocking[310].clocking}</t>
  </si>
  <si>
    <t>{jsdata.clocking[311].date}</t>
  </si>
  <si>
    <t>{jsdata.clocking[311].clocking}</t>
  </si>
  <si>
    <t>{jsdata.clocking[312].date}</t>
  </si>
  <si>
    <t>{jsdata.clocking[312].clocking}</t>
  </si>
  <si>
    <t>{jsdata.clocking[313].date}</t>
  </si>
  <si>
    <t>{jsdata.clocking[313].clocking}</t>
  </si>
  <si>
    <t>{jsdata.clocking[314].date}</t>
  </si>
  <si>
    <t>{jsdata.clocking[314].clocking}</t>
  </si>
  <si>
    <t>{jsdata.clocking[315].date}</t>
  </si>
  <si>
    <t>{jsdata.clocking[315].clocking}</t>
  </si>
  <si>
    <t>{jsdata.clocking[316].date}</t>
  </si>
  <si>
    <t>{jsdata.clocking[316].clocking}</t>
  </si>
  <si>
    <t>{jsdata.clocking[317].date}</t>
  </si>
  <si>
    <t>{jsdata.clocking[317].clocking}</t>
  </si>
  <si>
    <t>{jsdata.clocking[318].date}</t>
  </si>
  <si>
    <t>{jsdata.clocking[318].clocking}</t>
  </si>
  <si>
    <t>{jsdata.clocking[319].date}</t>
  </si>
  <si>
    <t>{jsdata.clocking[319].clocking}</t>
  </si>
  <si>
    <t>{jsdata.clocking[320].date}</t>
  </si>
  <si>
    <t>{jsdata.clocking[320].clocking}</t>
  </si>
  <si>
    <t>{jsdata.clocking[321].date}</t>
  </si>
  <si>
    <t>{jsdata.clocking[321].clocking}</t>
  </si>
  <si>
    <t>{jsdata.clocking[322].date}</t>
  </si>
  <si>
    <t>{jsdata.clocking[322].clocking}</t>
  </si>
  <si>
    <t>{jsdata.clocking[323].date}</t>
  </si>
  <si>
    <t>{jsdata.clocking[323].clocking}</t>
  </si>
  <si>
    <t>{jsdata.clocking[324].date}</t>
  </si>
  <si>
    <t>{jsdata.clocking[324].clocking}</t>
  </si>
  <si>
    <t>{jsdata.clocking[325].date}</t>
  </si>
  <si>
    <t>{jsdata.clocking[325].clocking}</t>
  </si>
  <si>
    <t>{jsdata.clocking[326].date}</t>
  </si>
  <si>
    <t>{jsdata.clocking[326].clocking}</t>
  </si>
  <si>
    <t>{jsdata.clocking[327].date}</t>
  </si>
  <si>
    <t>{jsdata.clocking[327].clocking}</t>
  </si>
  <si>
    <t>{jsdata.clocking[328].date}</t>
  </si>
  <si>
    <t>{jsdata.clocking[328].clocking}</t>
  </si>
  <si>
    <t>{jsdata.clocking[329].date}</t>
  </si>
  <si>
    <t>{jsdata.clocking[329].clocking}</t>
  </si>
  <si>
    <t>{jsdata.clocking[330].date}</t>
  </si>
  <si>
    <t>{jsdata.clocking[330].clocking}</t>
  </si>
  <si>
    <t>{jsdata.clocking[331].date}</t>
  </si>
  <si>
    <t>{jsdata.clocking[331].clocking}</t>
  </si>
  <si>
    <t>{jsdata.clocking[332].date}</t>
  </si>
  <si>
    <t>{jsdata.clocking[332].clocking}</t>
  </si>
  <si>
    <t>{jsdata.clocking[333].date}</t>
  </si>
  <si>
    <t>{jsdata.clocking[333].clocking}</t>
  </si>
  <si>
    <t>{jsdata.clocking[334].date}</t>
  </si>
  <si>
    <t>{jsdata.clocking[334].clocking}</t>
  </si>
  <si>
    <t>{jsdata.clocking[335].date}</t>
  </si>
  <si>
    <t>{jsdata.clocking[335].clocking}</t>
  </si>
  <si>
    <t>{jsdata.clocking[336].date}</t>
  </si>
  <si>
    <t>{jsdata.clocking[336].clocking}</t>
  </si>
  <si>
    <t>{jsdata.clocking[337].date}</t>
  </si>
  <si>
    <t>{jsdata.clocking[337].clocking}</t>
  </si>
  <si>
    <t>{jsdata.clocking[338].date}</t>
  </si>
  <si>
    <t>{jsdata.clocking[338].clocking}</t>
  </si>
  <si>
    <t>{jsdata.clocking[339].date}</t>
  </si>
  <si>
    <t>{jsdata.clocking[339].clocking}</t>
  </si>
  <si>
    <t>{jsdata.clocking[340].date}</t>
  </si>
  <si>
    <t>{jsdata.clocking[340].clocking}</t>
  </si>
  <si>
    <t>{jsdata.clocking[341].date}</t>
  </si>
  <si>
    <t>{jsdata.clocking[341].clocking}</t>
  </si>
  <si>
    <t>{jsdata.clocking[342].date}</t>
  </si>
  <si>
    <t>{jsdata.clocking[342].clocking}</t>
  </si>
  <si>
    <t>{jsdata.clocking[343].date}</t>
  </si>
  <si>
    <t>{jsdata.clocking[343].clocking}</t>
  </si>
  <si>
    <t>{jsdata.clocking[344].date}</t>
  </si>
  <si>
    <t>{jsdata.clocking[344].clocking}</t>
  </si>
  <si>
    <t>{jsdata.clocking[345].date}</t>
  </si>
  <si>
    <t>{jsdata.clocking[345].clocking}</t>
  </si>
  <si>
    <t>{jsdata.clocking[346].date}</t>
  </si>
  <si>
    <t>{jsdata.clocking[346].clocking}</t>
  </si>
  <si>
    <t>{jsdata.clocking[347].date}</t>
  </si>
  <si>
    <t>{jsdata.clocking[347].clocking}</t>
  </si>
  <si>
    <t>{jsdata.clocking[348].date}</t>
  </si>
  <si>
    <t>{jsdata.clocking[348].clocking}</t>
  </si>
  <si>
    <t>{jsdata.clocking[349].date}</t>
  </si>
  <si>
    <t>{jsdata.clocking[349].clocking}</t>
  </si>
  <si>
    <t>{jsdata.clocking[350].date}</t>
  </si>
  <si>
    <t>{jsdata.clocking[350].clocking}</t>
  </si>
  <si>
    <t>{jsdata.clocking[351].date}</t>
  </si>
  <si>
    <t>{jsdata.clocking[351].clocking}</t>
  </si>
  <si>
    <t>{jsdata.clocking[352].date}</t>
  </si>
  <si>
    <t>{jsdata.clocking[352].clocking}</t>
  </si>
  <si>
    <t>{jsdata.clocking[353].date}</t>
  </si>
  <si>
    <t>{jsdata.clocking[353].clocking}</t>
  </si>
  <si>
    <t>{jsdata.clocking[354].date}</t>
  </si>
  <si>
    <t>{jsdata.clocking[354].clocking}</t>
  </si>
  <si>
    <t>{jsdata.clocking[355].date}</t>
  </si>
  <si>
    <t>{jsdata.clocking[355].clocking}</t>
  </si>
  <si>
    <t>{jsdata.clocking[356].date}</t>
  </si>
  <si>
    <t>{jsdata.clocking[356].clocking}</t>
  </si>
  <si>
    <t>{jsdata.clocking[357].date}</t>
  </si>
  <si>
    <t>{jsdata.clocking[357].clocking}</t>
  </si>
  <si>
    <t>{jsdata.clocking[358].date}</t>
  </si>
  <si>
    <t>{jsdata.clocking[358].clocking}</t>
  </si>
  <si>
    <t>{jsdata.clocking[359].date}</t>
  </si>
  <si>
    <t>{jsdata.clocking[359].clocking}</t>
  </si>
  <si>
    <t>{jsdata.clocking[360].date}</t>
  </si>
  <si>
    <t>{jsdata.clocking[360].clocking}</t>
  </si>
  <si>
    <t>{jsdata.clocking[361].date}</t>
  </si>
  <si>
    <t>{jsdata.clocking[361].clocking}</t>
  </si>
  <si>
    <t>{jsdata.clocking[362].date}</t>
  </si>
  <si>
    <t>{jsdata.clocking[362].clocking}</t>
  </si>
  <si>
    <t>{jsdata.clocking[363].date}</t>
  </si>
  <si>
    <t>{jsdata.clocking[363].clocking}</t>
  </si>
  <si>
    <t>{jsdata.clocking[364].date}</t>
  </si>
  <si>
    <t>{jsdata.clocking[364].clocking}</t>
  </si>
  <si>
    <t>{jsdata.clocking[365].date}</t>
  </si>
  <si>
    <t>{jsdata.clocking[365].clocking}</t>
  </si>
  <si>
    <t>{jsdata.clocking[366].date}</t>
  </si>
  <si>
    <t>{jsdata.clocking[366].clocking}</t>
  </si>
  <si>
    <t>{jsdata.clocking[367].date}</t>
  </si>
  <si>
    <t>{jsdata.clocking[367].clocking}</t>
  </si>
  <si>
    <t>{jsdata.clocking[368].date}</t>
  </si>
  <si>
    <t>{jsdata.clocking[368].clocking}</t>
  </si>
  <si>
    <t>{jsdata.clocking[369].date}</t>
  </si>
  <si>
    <t>{jsdata.clocking[369].clocking}</t>
  </si>
  <si>
    <t>{jsdata.clocking[370].date}</t>
  </si>
  <si>
    <t>{jsdata.clocking[370].clocking}</t>
  </si>
  <si>
    <t>{jsdata.clocking[371].date}</t>
  </si>
  <si>
    <t>{jsdata.clocking[371].clocking}</t>
  </si>
  <si>
    <t>{jsdata.clocking[372].date}</t>
  </si>
  <si>
    <t>{jsdata.clocking[372].clocking}</t>
  </si>
  <si>
    <t>{jsdata.clocking[373].date}</t>
  </si>
  <si>
    <t>{jsdata.clocking[373].clocking}</t>
  </si>
  <si>
    <t>{jsdata.clocking[374].date}</t>
  </si>
  <si>
    <t>{jsdata.clocking[374].clocking}</t>
  </si>
  <si>
    <t>{jsdata.clocking[375].date}</t>
  </si>
  <si>
    <t>{jsdata.clocking[375].clocking}</t>
  </si>
  <si>
    <t>{jsdata.clocking[376].date}</t>
  </si>
  <si>
    <t>{jsdata.clocking[376].clocking}</t>
  </si>
  <si>
    <t>{jsdata.clocking[377].date}</t>
  </si>
  <si>
    <t>{jsdata.clocking[377].clocking}</t>
  </si>
  <si>
    <t>{jsdata.clocking[378].date}</t>
  </si>
  <si>
    <t>{jsdata.clocking[378].clocking}</t>
  </si>
  <si>
    <t>{jsdata.clocking[379].date}</t>
  </si>
  <si>
    <t>{jsdata.clocking[379].clocking}</t>
  </si>
  <si>
    <t>{jsdata.clocking[380].date}</t>
  </si>
  <si>
    <t>{jsdata.clocking[380].clocking}</t>
  </si>
  <si>
    <t>{jsdata.clocking[381].date}</t>
  </si>
  <si>
    <t>{jsdata.clocking[381].clocking}</t>
  </si>
  <si>
    <t>{jsdata.clocking[382].date}</t>
  </si>
  <si>
    <t>{jsdata.clocking[382].clocking}</t>
  </si>
  <si>
    <t>{jsdata.clocking[383].date}</t>
  </si>
  <si>
    <t>{jsdata.clocking[383].clocking}</t>
  </si>
  <si>
    <t>{jsdata.clocking[384].date}</t>
  </si>
  <si>
    <t>{jsdata.clocking[384].clocking}</t>
  </si>
  <si>
    <t>{jsdata.clocking[385].date}</t>
  </si>
  <si>
    <t>{jsdata.clocking[385].clocking}</t>
  </si>
  <si>
    <t>{jsdata.clocking[386].date}</t>
  </si>
  <si>
    <t>{jsdata.clocking[386].clocking}</t>
  </si>
  <si>
    <t>{jsdata.clocking[387].date}</t>
  </si>
  <si>
    <t>{jsdata.clocking[387].clocking}</t>
  </si>
  <si>
    <t>{jsdata.clocking[388].date}</t>
  </si>
  <si>
    <t>{jsdata.clocking[388].clocking}</t>
  </si>
  <si>
    <t>{jsdata.clocking[389].date}</t>
  </si>
  <si>
    <t>{jsdata.clocking[389].clocking}</t>
  </si>
  <si>
    <t>{jsdata.clocking[390].date}</t>
  </si>
  <si>
    <t>{jsdata.clocking[390].clocking}</t>
  </si>
  <si>
    <t>{jsdata.clocking[391].date}</t>
  </si>
  <si>
    <t>{jsdata.clocking[391].clocking}</t>
  </si>
  <si>
    <t>{jsdata.clocking[392].date}</t>
  </si>
  <si>
    <t>{jsdata.clocking[392].clocking}</t>
  </si>
  <si>
    <t>{jsdata.clocking[393].date}</t>
  </si>
  <si>
    <t>{jsdata.clocking[393].clocking}</t>
  </si>
  <si>
    <t>{jsdata.clocking[394].date}</t>
  </si>
  <si>
    <t>{jsdata.clocking[394].clocking}</t>
  </si>
  <si>
    <t>{jsdata.clocking[395].date}</t>
  </si>
  <si>
    <t>{jsdata.clocking[395].clocking}</t>
  </si>
  <si>
    <t>{jsdata.clocking[396].date}</t>
  </si>
  <si>
    <t>{jsdata.clocking[396].clocking}</t>
  </si>
  <si>
    <t>{jsdata.clocking[397].date}</t>
  </si>
  <si>
    <t>{jsdata.clocking[397].clocking}</t>
  </si>
  <si>
    <t>{jsdata.clocking[398].date}</t>
  </si>
  <si>
    <t>{jsdata.clocking[398].clocking}</t>
  </si>
  <si>
    <t>{jsdata.clocking[399].date}</t>
  </si>
  <si>
    <t>{jsdata.clocking[399].clocking}</t>
  </si>
  <si>
    <t>{jsdata.clocking[400].date}</t>
  </si>
  <si>
    <t>{jsdata.clocking[400].clocking}</t>
  </si>
  <si>
    <t>{jsdata.clocking[401].date}</t>
  </si>
  <si>
    <t>{jsdata.clocking[401].clocking}</t>
  </si>
  <si>
    <t>{jsdata.clocking[402].date}</t>
  </si>
  <si>
    <t>{jsdata.clocking[402].clocking}</t>
  </si>
  <si>
    <t>{jsdata.clocking[403].date}</t>
  </si>
  <si>
    <t>{jsdata.clocking[403].clocking}</t>
  </si>
  <si>
    <t>{jsdata.clocking[404].date}</t>
  </si>
  <si>
    <t>{jsdata.clocking[404].clocking}</t>
  </si>
  <si>
    <t>{jsdata.clocking[405].date}</t>
  </si>
  <si>
    <t>{jsdata.clocking[405].clocking}</t>
  </si>
  <si>
    <t>{jsdata.clocking[406].date}</t>
  </si>
  <si>
    <t>{jsdata.clocking[406].clocking}</t>
  </si>
  <si>
    <t>{jsdata.clocking[407].date}</t>
  </si>
  <si>
    <t>{jsdata.clocking[407].clocking}</t>
  </si>
  <si>
    <t>{jsdata.clocking[408].date}</t>
  </si>
  <si>
    <t>{jsdata.clocking[408].clocking}</t>
  </si>
  <si>
    <t>{jsdata.clocking[409].date}</t>
  </si>
  <si>
    <t>{jsdata.clocking[409].clocking}</t>
  </si>
  <si>
    <t>{jsdata.clocking[410].date}</t>
  </si>
  <si>
    <t>{jsdata.clocking[410].clocking}</t>
  </si>
  <si>
    <t>{jsdata.clocking[411].date}</t>
  </si>
  <si>
    <t>{jsdata.clocking[411].clocking}</t>
  </si>
  <si>
    <t>{jsdata.clocking[412].date}</t>
  </si>
  <si>
    <t>{jsdata.clocking[412].clocking}</t>
  </si>
  <si>
    <t>{jsdata.clocking[413].date}</t>
  </si>
  <si>
    <t>{jsdata.clocking[413].clocking}</t>
  </si>
  <si>
    <t>{jsdata.clocking[414].date}</t>
  </si>
  <si>
    <t>{jsdata.clocking[414].clocking}</t>
  </si>
  <si>
    <t>{jsdata.clocking[415].date}</t>
  </si>
  <si>
    <t>{jsdata.clocking[415].clocking}</t>
  </si>
  <si>
    <t>{jsdata.clocking[416].date}</t>
  </si>
  <si>
    <t>{jsdata.clocking[416].clocking}</t>
  </si>
  <si>
    <t>{jsdata.clocking[417].date}</t>
  </si>
  <si>
    <t>{jsdata.clocking[417].clocking}</t>
  </si>
  <si>
    <t>{jsdata.clocking[418].date}</t>
  </si>
  <si>
    <t>{jsdata.clocking[418].clocking}</t>
  </si>
  <si>
    <t>{jsdata.clocking[419].date}</t>
  </si>
  <si>
    <t>{jsdata.clocking[419].clocking}</t>
  </si>
  <si>
    <t>{jsdata.clocking[420].date}</t>
  </si>
  <si>
    <t>{jsdata.clocking[420].clocking}</t>
  </si>
  <si>
    <t>{jsdata.clocking[421].date}</t>
  </si>
  <si>
    <t>{jsdata.clocking[421].clocking}</t>
  </si>
  <si>
    <t>{jsdata.clocking[422].date}</t>
  </si>
  <si>
    <t>{jsdata.clocking[422].clocking}</t>
  </si>
  <si>
    <t>{jsdata.clocking[423].date}</t>
  </si>
  <si>
    <t>{jsdata.clocking[423].clocking}</t>
  </si>
  <si>
    <t>{jsdata.clocking[424].date}</t>
  </si>
  <si>
    <t>{jsdata.clocking[424].clocking}</t>
  </si>
  <si>
    <t>{jsdata.clocking[425].date}</t>
  </si>
  <si>
    <t>{jsdata.clocking[425].clocking}</t>
  </si>
  <si>
    <t>{jsdata.clocking[426].date}</t>
  </si>
  <si>
    <t>{jsdata.clocking[426].clocking}</t>
  </si>
  <si>
    <t>{jsdata.clocking[427].date}</t>
  </si>
  <si>
    <t>{jsdata.clocking[427].clocking}</t>
  </si>
  <si>
    <t>{jsdata.clocking[428].date}</t>
  </si>
  <si>
    <t>{jsdata.clocking[428].clocking}</t>
  </si>
  <si>
    <t>{jsdata.clocking[429].date}</t>
  </si>
  <si>
    <t>{jsdata.clocking[429].clocking}</t>
  </si>
  <si>
    <t>{jsdata.clocking[430].date}</t>
  </si>
  <si>
    <t>{jsdata.clocking[430].clocking}</t>
  </si>
  <si>
    <t>{jsdata.clocking[431].date}</t>
  </si>
  <si>
    <t>{jsdata.clocking[431].clocking}</t>
  </si>
  <si>
    <t>{jsdata.clocking[432].date}</t>
  </si>
  <si>
    <t>{jsdata.clocking[432].clocking}</t>
  </si>
  <si>
    <t>{jsdata.clocking[433].date}</t>
  </si>
  <si>
    <t>{jsdata.clocking[433].clocking}</t>
  </si>
  <si>
    <t>{jsdata.clocking[434].date}</t>
  </si>
  <si>
    <t>{jsdata.clocking[434].clocking}</t>
  </si>
  <si>
    <t>{jsdata.clocking[435].date}</t>
  </si>
  <si>
    <t>{jsdata.clocking[435].clocking}</t>
  </si>
  <si>
    <t>{jsdata.clocking[436].date}</t>
  </si>
  <si>
    <t>{jsdata.clocking[436].clocking}</t>
  </si>
  <si>
    <t>{jsdata.clocking[437].date}</t>
  </si>
  <si>
    <t>{jsdata.clocking[437].clocking}</t>
  </si>
  <si>
    <t>{jsdata.clocking[438].date}</t>
  </si>
  <si>
    <t>{jsdata.clocking[438].clocking}</t>
  </si>
  <si>
    <t>{jsdata.clocking[439].date}</t>
  </si>
  <si>
    <t>{jsdata.clocking[439].clocking}</t>
  </si>
  <si>
    <t>{jsdata.clocking[440].date}</t>
  </si>
  <si>
    <t>{jsdata.clocking[440].clocking}</t>
  </si>
  <si>
    <t>{jsdata.clocking[441].date}</t>
  </si>
  <si>
    <t>{jsdata.clocking[441].clocking}</t>
  </si>
  <si>
    <t>{jsdata.clocking[442].date}</t>
  </si>
  <si>
    <t>{jsdata.clocking[442].clocking}</t>
  </si>
  <si>
    <t>{jsdata.clocking[443].date}</t>
  </si>
  <si>
    <t>{jsdata.clocking[443].clocking}</t>
  </si>
  <si>
    <t>{jsdata.clocking[444].date}</t>
  </si>
  <si>
    <t>{jsdata.clocking[444].clocking}</t>
  </si>
  <si>
    <t>{jsdata.clocking[445].date}</t>
  </si>
  <si>
    <t>{jsdata.clocking[445].clocking}</t>
  </si>
  <si>
    <t>{jsdata.clocking[446].date}</t>
  </si>
  <si>
    <t>{jsdata.clocking[446].clocking}</t>
  </si>
  <si>
    <t>{jsdata.clocking[447].date}</t>
  </si>
  <si>
    <t>{jsdata.clocking[447].clocking}</t>
  </si>
  <si>
    <t>{jsdata.clocking[448].date}</t>
  </si>
  <si>
    <t>{jsdata.clocking[448].clocking}</t>
  </si>
  <si>
    <t>{jsdata.clocking[449].date}</t>
  </si>
  <si>
    <t>{jsdata.clocking[449].clocking}</t>
  </si>
  <si>
    <t>{jsdata.clocking[450].date}</t>
  </si>
  <si>
    <t>{jsdata.clocking[450].clocking}</t>
  </si>
  <si>
    <t>{jsdata.clocking[451].date}</t>
  </si>
  <si>
    <t>{jsdata.clocking[451].clocking}</t>
  </si>
  <si>
    <t>{jsdata.clocking[452].date}</t>
  </si>
  <si>
    <t>{jsdata.clocking[452].clocking}</t>
  </si>
  <si>
    <t>{jsdata.clocking[453].date}</t>
  </si>
  <si>
    <t>{jsdata.clocking[453].clocking}</t>
  </si>
  <si>
    <t>{jsdata.clocking[454].date}</t>
  </si>
  <si>
    <t>{jsdata.clocking[454].clocking}</t>
  </si>
  <si>
    <t>{jsdata.clocking[455].date}</t>
  </si>
  <si>
    <t>{jsdata.clocking[455].clocking}</t>
  </si>
  <si>
    <t>{jsdata.clocking[456].date}</t>
  </si>
  <si>
    <t>{jsdata.clocking[456].clocking}</t>
  </si>
  <si>
    <t>{jsdata.clocking[457].date}</t>
  </si>
  <si>
    <t>{jsdata.clocking[457].clocking}</t>
  </si>
  <si>
    <t>{jsdata.clocking[458].date}</t>
  </si>
  <si>
    <t>{jsdata.clocking[458].clocking}</t>
  </si>
  <si>
    <t>{jsdata.clocking[459].date}</t>
  </si>
  <si>
    <t>{jsdata.clocking[459].clocking}</t>
  </si>
  <si>
    <t>{jsdata.clocking[460].date}</t>
  </si>
  <si>
    <t>{jsdata.clocking[460].clocking}</t>
  </si>
  <si>
    <t>{jsdata.clocking[461].date}</t>
  </si>
  <si>
    <t>{jsdata.clocking[461].clocking}</t>
  </si>
  <si>
    <t>{jsdata.clocking[462].date}</t>
  </si>
  <si>
    <t>{jsdata.clocking[462].clocking}</t>
  </si>
  <si>
    <t>{jsdata.clocking[463].date}</t>
  </si>
  <si>
    <t>{jsdata.clocking[463].clocking}</t>
  </si>
  <si>
    <t>{jsdata.clocking[464].date}</t>
  </si>
  <si>
    <t>{jsdata.clocking[464].clocking}</t>
  </si>
  <si>
    <t>{jsdata.clocking[465].date}</t>
  </si>
  <si>
    <t>{jsdata.clocking[465].clocking}</t>
  </si>
  <si>
    <t>{jsdata.clocking[466].date}</t>
  </si>
  <si>
    <t>{jsdata.clocking[466].clocking}</t>
  </si>
  <si>
    <t>{jsdata.clocking[467].date}</t>
  </si>
  <si>
    <t>{jsdata.clocking[467].clocking}</t>
  </si>
  <si>
    <t>{jsdata.clocking[468].date}</t>
  </si>
  <si>
    <t>{jsdata.clocking[468].clocking}</t>
  </si>
  <si>
    <t>{jsdata.clocking[469].date}</t>
  </si>
  <si>
    <t>{jsdata.clocking[469].clocking}</t>
  </si>
  <si>
    <t>{jsdata.clocking[470].date}</t>
  </si>
  <si>
    <t>{jsdata.clocking[470].clocking}</t>
  </si>
  <si>
    <t>{jsdata.clocking[471].date}</t>
  </si>
  <si>
    <t>{jsdata.clocking[471].clocking}</t>
  </si>
  <si>
    <t>{jsdata.clocking[472].date}</t>
  </si>
  <si>
    <t>{jsdata.clocking[472].clocking}</t>
  </si>
  <si>
    <t>{jsdata.clocking[473].date}</t>
  </si>
  <si>
    <t>{jsdata.clocking[473].clocking}</t>
  </si>
  <si>
    <t>{jsdata.clocking[474].date}</t>
  </si>
  <si>
    <t>{jsdata.clocking[474].clocking}</t>
  </si>
  <si>
    <t>{jsdata.clocking[475].date}</t>
  </si>
  <si>
    <t>{jsdata.clocking[475].clocking}</t>
  </si>
  <si>
    <t>{jsdata.clocking[476].date}</t>
  </si>
  <si>
    <t>{jsdata.clocking[476].clocking}</t>
  </si>
  <si>
    <t>{jsdata.clocking[477].date}</t>
  </si>
  <si>
    <t>{jsdata.clocking[477].clocking}</t>
  </si>
  <si>
    <t>{jsdata.clocking[478].date}</t>
  </si>
  <si>
    <t>{jsdata.clocking[478].clocking}</t>
  </si>
  <si>
    <t>{jsdata.clocking[479].date}</t>
  </si>
  <si>
    <t>{jsdata.clocking[479].clocking}</t>
  </si>
  <si>
    <t>{jsdata.clocking[480].date}</t>
  </si>
  <si>
    <t>{jsdata.clocking[480].clocking}</t>
  </si>
  <si>
    <t>{jsdata.clocking[481].date}</t>
  </si>
  <si>
    <t>{jsdata.clocking[481].clocking}</t>
  </si>
  <si>
    <t>{jsdata.clocking[482].date}</t>
  </si>
  <si>
    <t>{jsdata.clocking[482].clocking}</t>
  </si>
  <si>
    <t>{jsdata.clocking[483].date}</t>
  </si>
  <si>
    <t>{jsdata.clocking[483].clocking}</t>
  </si>
  <si>
    <t>{jsdata.clocking[484].date}</t>
  </si>
  <si>
    <t>{jsdata.clocking[484].clocking}</t>
  </si>
  <si>
    <t>{jsdata.clocking[485].date}</t>
  </si>
  <si>
    <t>{jsdata.clocking[485].clocking}</t>
  </si>
  <si>
    <t>{jsdata.clocking[486].date}</t>
  </si>
  <si>
    <t>{jsdata.clocking[486].clocking}</t>
  </si>
  <si>
    <t>{jsdata.clocking[487].date}</t>
  </si>
  <si>
    <t>{jsdata.clocking[487].clocking}</t>
  </si>
  <si>
    <t>{jsdata.clocking[488].date}</t>
  </si>
  <si>
    <t>{jsdata.clocking[488].clocking}</t>
  </si>
  <si>
    <t>{jsdata.clocking[489].date}</t>
  </si>
  <si>
    <t>{jsdata.clocking[489].clocking}</t>
  </si>
  <si>
    <t>{jsdata.clocking[490].date}</t>
  </si>
  <si>
    <t>{jsdata.clocking[490].clocking}</t>
  </si>
  <si>
    <t>{jsdata.clocking[491].date}</t>
  </si>
  <si>
    <t>{jsdata.clocking[491].clocking}</t>
  </si>
  <si>
    <t>{jsdata.clocking[492].date}</t>
  </si>
  <si>
    <t>{jsdata.clocking[492].clocking}</t>
  </si>
  <si>
    <t>{jsdata.clocking[493].date}</t>
  </si>
  <si>
    <t>{jsdata.clocking[493].clocking}</t>
  </si>
  <si>
    <t>{jsdata.clocking[494].date}</t>
  </si>
  <si>
    <t>{jsdata.clocking[494].clocking}</t>
  </si>
  <si>
    <t>{jsdata.clocking[495].date}</t>
  </si>
  <si>
    <t>{jsdata.clocking[495].clocking}</t>
  </si>
  <si>
    <t>{jsdata.clocking[496].date}</t>
  </si>
  <si>
    <t>{jsdata.clocking[496].clocking}</t>
  </si>
  <si>
    <t>{jsdata.clocking[497].date}</t>
  </si>
  <si>
    <t>{jsdata.clocking[497].clocking}</t>
  </si>
  <si>
    <t>{jsdata.clocking[498].date}</t>
  </si>
  <si>
    <t>{jsdata.clocking[498].clocking}</t>
  </si>
  <si>
    <t>{jsdata.clocking[499].date}</t>
  </si>
  <si>
    <t>{jsdata.clocking[499].clocking}</t>
  </si>
  <si>
    <t>{jsdata.clocking[500].date}</t>
  </si>
  <si>
    <t>{jsdata.clocking[500].clocking}</t>
  </si>
  <si>
    <t>{jsdata.clocking[501].date}</t>
  </si>
  <si>
    <t>{jsdata.clocking[501].clocking}</t>
  </si>
  <si>
    <t>{jsdata.clocking[502].date}</t>
  </si>
  <si>
    <t>{jsdata.clocking[502].clocking}</t>
  </si>
  <si>
    <t>{jsdata.clocking[503].date}</t>
  </si>
  <si>
    <t>{jsdata.clocking[503].clocking}</t>
  </si>
  <si>
    <t>{jsdata.clocking[504].date}</t>
  </si>
  <si>
    <t>{jsdata.clocking[504].clocking}</t>
  </si>
  <si>
    <t>{jsdata.clocking[505].date}</t>
  </si>
  <si>
    <t>{jsdata.clocking[505].clocking}</t>
  </si>
  <si>
    <t>{jsdata.clocking[506].date}</t>
  </si>
  <si>
    <t>{jsdata.clocking[506].clocking}</t>
  </si>
  <si>
    <t>{jsdata.clocking[507].date}</t>
  </si>
  <si>
    <t>{jsdata.clocking[507].clocking}</t>
  </si>
  <si>
    <t>{jsdata.clocking[508].date}</t>
  </si>
  <si>
    <t>{jsdata.clocking[508].clocking}</t>
  </si>
  <si>
    <t>{jsdata.clocking[509].date}</t>
  </si>
  <si>
    <t>{jsdata.clocking[509].clocking}</t>
  </si>
  <si>
    <t>{jsdata.clocking[510].date}</t>
  </si>
  <si>
    <t>{jsdata.clocking[510].clocking}</t>
  </si>
  <si>
    <t>{jsdata.clocking[511].date}</t>
  </si>
  <si>
    <t>{jsdata.clocking[511].clocking}</t>
  </si>
  <si>
    <t>{jsdata.clocking[512].date}</t>
  </si>
  <si>
    <t>{jsdata.clocking[512].clocking}</t>
  </si>
  <si>
    <t>{jsdata.clocking[513].date}</t>
  </si>
  <si>
    <t>{jsdata.clocking[513].clocking}</t>
  </si>
  <si>
    <t>{jsdata.clocking[514].date}</t>
  </si>
  <si>
    <t>{jsdata.clocking[514].clocking}</t>
  </si>
  <si>
    <t>{jsdata.clocking[515].date}</t>
  </si>
  <si>
    <t>{jsdata.clocking[515].clocking}</t>
  </si>
  <si>
    <t>{jsdata.clocking[516].date}</t>
  </si>
  <si>
    <t>{jsdata.clocking[516].clocking}</t>
  </si>
  <si>
    <t>{jsdata.clocking[517].date}</t>
  </si>
  <si>
    <t>{jsdata.clocking[517].clocking}</t>
  </si>
  <si>
    <t>{jsdata.clocking[518].date}</t>
  </si>
  <si>
    <t>{jsdata.clocking[518].clocking}</t>
  </si>
  <si>
    <t>{jsdata.clocking[519].date}</t>
  </si>
  <si>
    <t>{jsdata.clocking[519].clocking}</t>
  </si>
  <si>
    <t>{jsdata.clocking[520].date}</t>
  </si>
  <si>
    <t>{jsdata.clocking[520].clocking}</t>
  </si>
  <si>
    <t>{jsdata.clocking[521].date}</t>
  </si>
  <si>
    <t>{jsdata.clocking[521].clocking}</t>
  </si>
  <si>
    <t>{jsdata.clocking[522].date}</t>
  </si>
  <si>
    <t>{jsdata.clocking[522].clocking}</t>
  </si>
  <si>
    <t>{jsdata.clocking[523].date}</t>
  </si>
  <si>
    <t>{jsdata.clocking[523].clocking}</t>
  </si>
  <si>
    <t>{jsdata.clocking[524].date}</t>
  </si>
  <si>
    <t>{jsdata.clocking[524].clocking}</t>
  </si>
  <si>
    <t>{jsdata.clocking[525].date}</t>
  </si>
  <si>
    <t>{jsdata.clocking[525].clocking}</t>
  </si>
  <si>
    <t>{jsdata.clocking[526].date}</t>
  </si>
  <si>
    <t>{jsdata.clocking[526].clocking}</t>
  </si>
  <si>
    <t>{jsdata.clocking[527].date}</t>
  </si>
  <si>
    <t>{jsdata.clocking[527].clocking}</t>
  </si>
  <si>
    <t>{jsdata.clocking[528].date}</t>
  </si>
  <si>
    <t>{jsdata.clocking[528].clocking}</t>
  </si>
  <si>
    <t>{jsdata.clocking[529].date}</t>
  </si>
  <si>
    <t>{jsdata.clocking[529].clocking}</t>
  </si>
  <si>
    <t>{jsdata.clocking[530].date}</t>
  </si>
  <si>
    <t>{jsdata.clocking[530].clocking}</t>
  </si>
  <si>
    <t>{jsdata.clocking[531].date}</t>
  </si>
  <si>
    <t>{jsdata.clocking[531].clocking}</t>
  </si>
  <si>
    <t>{jsdata.clocking[532].date}</t>
  </si>
  <si>
    <t>{jsdata.clocking[532].clocking}</t>
  </si>
  <si>
    <t>{jsdata.clocking[533].date}</t>
  </si>
  <si>
    <t>{jsdata.clocking[533].clocking}</t>
  </si>
  <si>
    <t>{jsdata.clocking[534].date}</t>
  </si>
  <si>
    <t>{jsdata.clocking[534].clocking}</t>
  </si>
  <si>
    <t>{jsdata.clocking[535].date}</t>
  </si>
  <si>
    <t>{jsdata.clocking[535].clocking}</t>
  </si>
  <si>
    <t>{jsdata.clocking[536].date}</t>
  </si>
  <si>
    <t>{jsdata.clocking[536].clocking}</t>
  </si>
  <si>
    <t>{jsdata.clocking[537].date}</t>
  </si>
  <si>
    <t>{jsdata.clocking[537].clocking}</t>
  </si>
  <si>
    <t>{jsdata.clocking[538].date}</t>
  </si>
  <si>
    <t>{jsdata.clocking[538].clocking}</t>
  </si>
  <si>
    <t>{jsdata.clocking[539].date}</t>
  </si>
  <si>
    <t>{jsdata.clocking[539].clocking}</t>
  </si>
  <si>
    <t>{jsdata.clocking[540].date}</t>
  </si>
  <si>
    <t>{jsdata.clocking[540].clocking}</t>
  </si>
  <si>
    <t>{jsdata.clocking[541].date}</t>
  </si>
  <si>
    <t>{jsdata.clocking[541].clocking}</t>
  </si>
  <si>
    <t>{jsdata.clocking[542].date}</t>
  </si>
  <si>
    <t>{jsdata.clocking[542].clocking}</t>
  </si>
  <si>
    <t>{jsdata.clocking[543].date}</t>
  </si>
  <si>
    <t>{jsdata.clocking[543].clocking}</t>
  </si>
  <si>
    <t>{jsdata.clocking[544].date}</t>
  </si>
  <si>
    <t>{jsdata.clocking[544].clocking}</t>
  </si>
  <si>
    <t>{jsdata.clocking[545].date}</t>
  </si>
  <si>
    <t>{jsdata.clocking[545].clocking}</t>
  </si>
  <si>
    <t>{jsdata.clocking[546].date}</t>
  </si>
  <si>
    <t>{jsdata.clocking[546].clocking}</t>
  </si>
  <si>
    <t>{jsdata.clocking[547].date}</t>
  </si>
  <si>
    <t>{jsdata.clocking[547].clocking}</t>
  </si>
  <si>
    <t>{jsdata.clocking[548].date}</t>
  </si>
  <si>
    <t>{jsdata.clocking[548].clocking}</t>
  </si>
  <si>
    <t>{jsdata.clocking[549].date}</t>
  </si>
  <si>
    <t>{jsdata.clocking[549].clocking}</t>
  </si>
  <si>
    <t>{jsdata.clocking[550].date}</t>
  </si>
  <si>
    <t>{jsdata.clocking[550].clocking}</t>
  </si>
  <si>
    <t>{jsdata.clocking[551].date}</t>
  </si>
  <si>
    <t>{jsdata.clocking[551].clocking}</t>
  </si>
  <si>
    <t>{jsdata.clocking[552].date}</t>
  </si>
  <si>
    <t>{jsdata.clocking[552].clocking}</t>
  </si>
  <si>
    <t>{jsdata.clocking[553].date}</t>
  </si>
  <si>
    <t>{jsdata.clocking[553].clocking}</t>
  </si>
  <si>
    <t>{jsdata.clocking[554].date}</t>
  </si>
  <si>
    <t>{jsdata.clocking[554].clocking}</t>
  </si>
  <si>
    <t>{jsdata.clocking[555].date}</t>
  </si>
  <si>
    <t>{jsdata.clocking[555].clocking}</t>
  </si>
  <si>
    <t>{jsdata.clocking[556].date}</t>
  </si>
  <si>
    <t>{jsdata.clocking[556].clocking}</t>
  </si>
  <si>
    <t>{jsdata.clocking[557].date}</t>
  </si>
  <si>
    <t>{jsdata.clocking[557].clocking}</t>
  </si>
  <si>
    <t>{jsdata.clocking[558].date}</t>
  </si>
  <si>
    <t>{jsdata.clocking[558].clocking}</t>
  </si>
  <si>
    <t>{jsdata.clocking[559].date}</t>
  </si>
  <si>
    <t>{jsdata.clocking[559].clocking}</t>
  </si>
  <si>
    <t>{jsdata.clocking[560].date}</t>
  </si>
  <si>
    <t>{jsdata.clocking[560].clocking}</t>
  </si>
  <si>
    <t>{jsdata.clocking[561].date}</t>
  </si>
  <si>
    <t>{jsdata.clocking[561].clocking}</t>
  </si>
  <si>
    <t>{jsdata.clocking[562].date}</t>
  </si>
  <si>
    <t>{jsdata.clocking[562].clocking}</t>
  </si>
  <si>
    <t>{jsdata.clocking[563].date}</t>
  </si>
  <si>
    <t>{jsdata.clocking[563].clocking}</t>
  </si>
  <si>
    <t>{jsdata.clocking[564].date}</t>
  </si>
  <si>
    <t>{jsdata.clocking[564].clocking}</t>
  </si>
  <si>
    <t>{jsdata.clocking[565].date}</t>
  </si>
  <si>
    <t>{jsdata.clocking[565].clocking}</t>
  </si>
  <si>
    <t>{jsdata.clocking[566].date}</t>
  </si>
  <si>
    <t>{jsdata.clocking[566].clocking}</t>
  </si>
  <si>
    <t>{jsdata.clocking[567].date}</t>
  </si>
  <si>
    <t>{jsdata.clocking[567].clocking}</t>
  </si>
  <si>
    <t>{jsdata.clocking[568].date}</t>
  </si>
  <si>
    <t>{jsdata.clocking[568].clocking}</t>
  </si>
  <si>
    <t>{jsdata.clocking[569].date}</t>
  </si>
  <si>
    <t>{jsdata.clocking[569].clocking}</t>
  </si>
  <si>
    <t>{jsdata.clocking[570].date}</t>
  </si>
  <si>
    <t>{jsdata.clocking[570].clocking}</t>
  </si>
  <si>
    <t>{jsdata.clocking[571].date}</t>
  </si>
  <si>
    <t>{jsdata.clocking[571].clocking}</t>
  </si>
  <si>
    <t>{jsdata.clocking[572].date}</t>
  </si>
  <si>
    <t>{jsdata.clocking[572].clocking}</t>
  </si>
  <si>
    <t>{jsdata.clocking[573].date}</t>
  </si>
  <si>
    <t>{jsdata.clocking[573].clocking}</t>
  </si>
  <si>
    <t>{jsdata.clocking[574].date}</t>
  </si>
  <si>
    <t>{jsdata.clocking[574].clocking}</t>
  </si>
  <si>
    <t>{jsdata.clocking[575].date}</t>
  </si>
  <si>
    <t>{jsdata.clocking[575].clocking}</t>
  </si>
  <si>
    <t>{jsdata.clocking[576].date}</t>
  </si>
  <si>
    <t>{jsdata.clocking[576].clocking}</t>
  </si>
  <si>
    <t>{jsdata.clocking[577].date}</t>
  </si>
  <si>
    <t>{jsdata.clocking[577].clocking}</t>
  </si>
  <si>
    <t>{jsdata.clocking[578].date}</t>
  </si>
  <si>
    <t>{jsdata.clocking[578].clocking}</t>
  </si>
  <si>
    <t>{jsdata.clocking[579].date}</t>
  </si>
  <si>
    <t>{jsdata.clocking[579].clocking}</t>
  </si>
  <si>
    <t>{jsdata.clocking[580].date}</t>
  </si>
  <si>
    <t>{jsdata.clocking[580].clocking}</t>
  </si>
  <si>
    <t>{jsdata.clocking[581].date}</t>
  </si>
  <si>
    <t>{jsdata.clocking[581].clocking}</t>
  </si>
  <si>
    <t>{jsdata.clocking[582].date}</t>
  </si>
  <si>
    <t>{jsdata.clocking[582].clocking}</t>
  </si>
  <si>
    <t>{jsdata.clocking[583].date}</t>
  </si>
  <si>
    <t>{jsdata.clocking[583].clocking}</t>
  </si>
  <si>
    <t>{jsdata.clocking[584].date}</t>
  </si>
  <si>
    <t>{jsdata.clocking[584].clocking}</t>
  </si>
  <si>
    <t>{jsdata.clocking[585].date}</t>
  </si>
  <si>
    <t>{jsdata.clocking[585].clocking}</t>
  </si>
  <si>
    <t>{jsdata.clocking[586].date}</t>
  </si>
  <si>
    <t>{jsdata.clocking[586].clocking}</t>
  </si>
  <si>
    <t>{jsdata.clocking[587].date}</t>
  </si>
  <si>
    <t>{jsdata.clocking[587].clocking}</t>
  </si>
  <si>
    <t>{jsdata.clocking[588].date}</t>
  </si>
  <si>
    <t>{jsdata.clocking[588].clocking}</t>
  </si>
  <si>
    <t>{jsdata.clocking[589].date}</t>
  </si>
  <si>
    <t>{jsdata.clocking[589].clocking}</t>
  </si>
  <si>
    <t>{jsdata.clocking[590].date}</t>
  </si>
  <si>
    <t>{jsdata.clocking[590].clocking}</t>
  </si>
  <si>
    <t>{jsdata.clocking[591].date}</t>
  </si>
  <si>
    <t>{jsdata.clocking[591].clocking}</t>
  </si>
  <si>
    <t>{jsdata.clocking[592].date}</t>
  </si>
  <si>
    <t>{jsdata.clocking[592].clocking}</t>
  </si>
  <si>
    <t>{jsdata.clocking[593].date}</t>
  </si>
  <si>
    <t>{jsdata.clocking[593].clocking}</t>
  </si>
  <si>
    <t>{jsdata.clocking[594].date}</t>
  </si>
  <si>
    <t>{jsdata.clocking[594].clocking}</t>
  </si>
  <si>
    <t>{jsdata.clocking[595].date}</t>
  </si>
  <si>
    <t>{jsdata.clocking[595].clocking}</t>
  </si>
  <si>
    <t>{jsdata.clocking[596].date}</t>
  </si>
  <si>
    <t>{jsdata.clocking[596].clocking}</t>
  </si>
  <si>
    <t>{jsdata.clocking[597].date}</t>
  </si>
  <si>
    <t>{jsdata.clocking[597].clocking}</t>
  </si>
  <si>
    <t>{jsdata.clocking[598].date}</t>
  </si>
  <si>
    <t>{jsdata.clocking[598].clocking}</t>
  </si>
  <si>
    <t>{jsdata.clocking[599].date}</t>
  </si>
  <si>
    <t>{jsdata.clocking[599].clocking}</t>
  </si>
  <si>
    <t>{jsdata.clocking[600].date}</t>
  </si>
  <si>
    <t>{jsdata.clocking[600].clocking}</t>
  </si>
  <si>
    <t>{jsdata.clocking[601].date}</t>
  </si>
  <si>
    <t>{jsdata.clocking[601].clocking}</t>
  </si>
  <si>
    <t>{jsdata.clocking[602].date}</t>
  </si>
  <si>
    <t>{jsdata.clocking[602].clocking}</t>
  </si>
  <si>
    <t>{jsdata.clocking[603].date}</t>
  </si>
  <si>
    <t>{jsdata.clocking[603].clocking}</t>
  </si>
  <si>
    <t>{jsdata.clocking[604].date}</t>
  </si>
  <si>
    <t>{jsdata.clocking[604].clocking}</t>
  </si>
  <si>
    <t>{jsdata.clocking[605].date}</t>
  </si>
  <si>
    <t>{jsdata.clocking[605].clocking}</t>
  </si>
  <si>
    <t>{jsdata.clocking[606].date}</t>
  </si>
  <si>
    <t>{jsdata.clocking[606].clocking}</t>
  </si>
  <si>
    <t>{jsdata.clocking[607].date}</t>
  </si>
  <si>
    <t>{jsdata.clocking[607].clocking}</t>
  </si>
  <si>
    <t>{jsdata.clocking[608].date}</t>
  </si>
  <si>
    <t>{jsdata.clocking[608].clocking}</t>
  </si>
  <si>
    <t>{jsdata.clocking[609].date}</t>
  </si>
  <si>
    <t>{jsdata.clocking[609].clocking}</t>
  </si>
  <si>
    <t>{jsdata.clocking[610].date}</t>
  </si>
  <si>
    <t>{jsdata.clocking[610].clocking}</t>
  </si>
  <si>
    <t>{jsdata.clocking[611].date}</t>
  </si>
  <si>
    <t>{jsdata.clocking[611].clocking}</t>
  </si>
  <si>
    <t>{jsdata.clocking[612].date}</t>
  </si>
  <si>
    <t>{jsdata.clocking[612].clocking}</t>
  </si>
  <si>
    <t>{jsdata.clocking[613].date}</t>
  </si>
  <si>
    <t>{jsdata.clocking[613].clocking}</t>
  </si>
  <si>
    <t>{jsdata.clocking[614].date}</t>
  </si>
  <si>
    <t>{jsdata.clocking[614].clocking}</t>
  </si>
  <si>
    <t>{jsdata.clocking[615].date}</t>
  </si>
  <si>
    <t>{jsdata.clocking[615].clocking}</t>
  </si>
  <si>
    <t>{jsdata.clocking[616].date}</t>
  </si>
  <si>
    <t>{jsdata.clocking[616].clocking}</t>
  </si>
  <si>
    <t>{jsdata.clocking[617].date}</t>
  </si>
  <si>
    <t>{jsdata.clocking[617].clocking}</t>
  </si>
  <si>
    <t>{jsdata.clocking[618].date}</t>
  </si>
  <si>
    <t>{jsdata.clocking[618].clocking}</t>
  </si>
  <si>
    <t>{jsdata.clocking[619].date}</t>
  </si>
  <si>
    <t>{jsdata.clocking[619].clocking}</t>
  </si>
  <si>
    <t>{jsdata.clocking[620].date}</t>
  </si>
  <si>
    <t>{jsdata.clocking[620].clocking}</t>
  </si>
  <si>
    <t>{jsdata.clocking[621].date}</t>
  </si>
  <si>
    <t>{jsdata.clocking[621].clocking}</t>
  </si>
  <si>
    <t>{jsdata.clocking[622].date}</t>
  </si>
  <si>
    <t>{jsdata.clocking[622].clocking}</t>
  </si>
  <si>
    <t>{jsdata.clocking[623].date}</t>
  </si>
  <si>
    <t>{jsdata.clocking[623].clocking}</t>
  </si>
  <si>
    <t>{jsdata.clocking[624].date}</t>
  </si>
  <si>
    <t>{jsdata.clocking[624].clocking}</t>
  </si>
  <si>
    <t>{jsdata.clocking[625].date}</t>
  </si>
  <si>
    <t>{jsdata.clocking[625].clocking}</t>
  </si>
  <si>
    <t>{jsdata.clocking[626].date}</t>
  </si>
  <si>
    <t>{jsdata.clocking[626].clocking}</t>
  </si>
  <si>
    <t>{jsdata.clocking[627].date}</t>
  </si>
  <si>
    <t>{jsdata.clocking[627].clocking}</t>
  </si>
  <si>
    <t>{jsdata.clocking[628].date}</t>
  </si>
  <si>
    <t>{jsdata.clocking[628].clocking}</t>
  </si>
  <si>
    <t>{jsdata.clocking[629].date}</t>
  </si>
  <si>
    <t>{jsdata.clocking[629].clocking}</t>
  </si>
  <si>
    <t>{jsdata.clocking[630].date}</t>
  </si>
  <si>
    <t>{jsdata.clocking[630].clocking}</t>
  </si>
  <si>
    <t>{jsdata.clocking[631].date}</t>
  </si>
  <si>
    <t>{jsdata.clocking[631].clocking}</t>
  </si>
  <si>
    <t>{jsdata.clocking[632].date}</t>
  </si>
  <si>
    <t>{jsdata.clocking[632].clocking}</t>
  </si>
  <si>
    <t>{jsdata.clocking[633].date}</t>
  </si>
  <si>
    <t>{jsdata.clocking[633].clocking}</t>
  </si>
  <si>
    <t>{jsdata.clocking[634].date}</t>
  </si>
  <si>
    <t>{jsdata.clocking[634].clocking}</t>
  </si>
  <si>
    <t>{jsdata.clocking[635].date}</t>
  </si>
  <si>
    <t>{jsdata.clocking[635].clocking}</t>
  </si>
  <si>
    <t>{jsdata.clocking[636].date}</t>
  </si>
  <si>
    <t>{jsdata.clocking[636].clocking}</t>
  </si>
  <si>
    <t>{jsdata.clocking[637].date}</t>
  </si>
  <si>
    <t>{jsdata.clocking[637].clocking}</t>
  </si>
  <si>
    <t>{jsdata.clocking[638].date}</t>
  </si>
  <si>
    <t>{jsdata.clocking[638].clocking}</t>
  </si>
  <si>
    <t>{jsdata.clocking[639].date}</t>
  </si>
  <si>
    <t>{jsdata.clocking[639].clocking}</t>
  </si>
  <si>
    <t>{jsdata.clocking[640].date}</t>
  </si>
  <si>
    <t>{jsdata.clocking[640].clocking}</t>
  </si>
  <si>
    <t>{jsdata.clocking[641].date}</t>
  </si>
  <si>
    <t>{jsdata.clocking[641].clocking}</t>
  </si>
  <si>
    <t>{jsdata.clocking[642].date}</t>
  </si>
  <si>
    <t>{jsdata.clocking[642].clocking}</t>
  </si>
  <si>
    <t>{jsdata.clocking[643].date}</t>
  </si>
  <si>
    <t>{jsdata.clocking[643].clocking}</t>
  </si>
  <si>
    <t>{jsdata.clocking[644].date}</t>
  </si>
  <si>
    <t>{jsdata.clocking[644].clocking}</t>
  </si>
  <si>
    <t>{jsdata.clocking[645].date}</t>
  </si>
  <si>
    <t>{jsdata.clocking[645].clocking}</t>
  </si>
  <si>
    <t>{jsdata.clocking[646].date}</t>
  </si>
  <si>
    <t>{jsdata.clocking[646].clocking}</t>
  </si>
  <si>
    <t>{jsdata.clocking[647].date}</t>
  </si>
  <si>
    <t>{jsdata.clocking[647].clocking}</t>
  </si>
  <si>
    <t>{jsdata.clocking[648].date}</t>
  </si>
  <si>
    <t>{jsdata.clocking[648].clocking}</t>
  </si>
  <si>
    <t>{jsdata.clocking[649].date}</t>
  </si>
  <si>
    <t>{jsdata.clocking[649].clocking}</t>
  </si>
  <si>
    <t>{jsdata.clocking[650].date}</t>
  </si>
  <si>
    <t>{jsdata.clocking[650].clocking}</t>
  </si>
  <si>
    <t>{jsdata.clocking[651].date}</t>
  </si>
  <si>
    <t>{jsdata.clocking[651].clocking}</t>
  </si>
  <si>
    <t>{jsdata.clocking[652].date}</t>
  </si>
  <si>
    <t>{jsdata.clocking[652].clocking}</t>
  </si>
  <si>
    <t>{jsdata.clocking[653].date}</t>
  </si>
  <si>
    <t>{jsdata.clocking[653].clocking}</t>
  </si>
  <si>
    <t>{jsdata.clocking[654].date}</t>
  </si>
  <si>
    <t>{jsdata.clocking[654].clocking}</t>
  </si>
  <si>
    <t>{jsdata.clocking[655].date}</t>
  </si>
  <si>
    <t>{jsdata.clocking[655].clocking}</t>
  </si>
  <si>
    <t>{jsdata.clocking[656].date}</t>
  </si>
  <si>
    <t>{jsdata.clocking[656].clocking}</t>
  </si>
  <si>
    <t>{jsdata.clocking[657].date}</t>
  </si>
  <si>
    <t>{jsdata.clocking[657].clocking}</t>
  </si>
  <si>
    <t>{jsdata.clocking[658].date}</t>
  </si>
  <si>
    <t>{jsdata.clocking[658].clocking}</t>
  </si>
  <si>
    <t>{jsdata.clocking[659].date}</t>
  </si>
  <si>
    <t>{jsdata.clocking[659].clocking}</t>
  </si>
  <si>
    <t>{jsdata.clocking[660].date}</t>
  </si>
  <si>
    <t>{jsdata.clocking[660].clocking}</t>
  </si>
  <si>
    <t>{jsdata.clocking[661].date}</t>
  </si>
  <si>
    <t>{jsdata.clocking[661].clocking}</t>
  </si>
  <si>
    <t>{jsdata.clocking[662].date}</t>
  </si>
  <si>
    <t>{jsdata.clocking[662].clocking}</t>
  </si>
  <si>
    <t>{jsdata.clocking[663].date}</t>
  </si>
  <si>
    <t>{jsdata.clocking[663].clocking}</t>
  </si>
  <si>
    <t>{jsdata.clocking[664].date}</t>
  </si>
  <si>
    <t>{jsdata.clocking[664].clocking}</t>
  </si>
  <si>
    <t>{jsdata.clocking[665].date}</t>
  </si>
  <si>
    <t>{jsdata.clocking[665].clocking}</t>
  </si>
  <si>
    <t>{jsdata.clocking[666].date}</t>
  </si>
  <si>
    <t>{jsdata.clocking[666].clocking}</t>
  </si>
  <si>
    <t>{jsdata.clocking[667].date}</t>
  </si>
  <si>
    <t>{jsdata.clocking[667].clocking}</t>
  </si>
  <si>
    <t>{jsdata.clocking[668].date}</t>
  </si>
  <si>
    <t>{jsdata.clocking[668].clocking}</t>
  </si>
  <si>
    <t>{jsdata.clocking[669].date}</t>
  </si>
  <si>
    <t>{jsdata.clocking[669].clocking}</t>
  </si>
  <si>
    <t>{jsdata.clocking[670].date}</t>
  </si>
  <si>
    <t>{jsdata.clocking[670].clocking}</t>
  </si>
  <si>
    <t>{jsdata.clocking[671].date}</t>
  </si>
  <si>
    <t>{jsdata.clocking[671].clocking}</t>
  </si>
  <si>
    <t>{jsdata.clocking[672].date}</t>
  </si>
  <si>
    <t>{jsdata.clocking[672].clocking}</t>
  </si>
  <si>
    <t>{jsdata.clocking[673].date}</t>
  </si>
  <si>
    <t>{jsdata.clocking[673].clocking}</t>
  </si>
  <si>
    <t>{jsdata.clocking[674].date}</t>
  </si>
  <si>
    <t>{jsdata.clocking[674].clocking}</t>
  </si>
  <si>
    <t>{jsdata.clocking[675].date}</t>
  </si>
  <si>
    <t>{jsdata.clocking[675].clocking}</t>
  </si>
  <si>
    <t>{jsdata.clocking[676].date}</t>
  </si>
  <si>
    <t>{jsdata.clocking[676].clocking}</t>
  </si>
  <si>
    <t>{jsdata.clocking[677].date}</t>
  </si>
  <si>
    <t>{jsdata.clocking[677].clocking}</t>
  </si>
  <si>
    <t>{jsdata.clocking[678].date}</t>
  </si>
  <si>
    <t>{jsdata.clocking[678].clocking}</t>
  </si>
  <si>
    <t>{jsdata.clocking[679].date}</t>
  </si>
  <si>
    <t>{jsdata.clocking[679].clocking}</t>
  </si>
  <si>
    <t>{jsdata.clocking[680].date}</t>
  </si>
  <si>
    <t>{jsdata.clocking[680].clocking}</t>
  </si>
  <si>
    <t>{jsdata.clocking[681].date}</t>
  </si>
  <si>
    <t>{jsdata.clocking[681].clocking}</t>
  </si>
  <si>
    <t>{jsdata.clocking[682].date}</t>
  </si>
  <si>
    <t>{jsdata.clocking[682].clocking}</t>
  </si>
  <si>
    <t>{jsdata.clocking[683].date}</t>
  </si>
  <si>
    <t>{jsdata.clocking[683].clocking}</t>
  </si>
  <si>
    <t>{jsdata.clocking[684].date}</t>
  </si>
  <si>
    <t>{jsdata.clocking[684].clocking}</t>
  </si>
  <si>
    <t>{jsdata.clocking[685].date}</t>
  </si>
  <si>
    <t>{jsdata.clocking[685].clocking}</t>
  </si>
  <si>
    <t>{jsdata.clocking[686].date}</t>
  </si>
  <si>
    <t>{jsdata.clocking[686].clocking}</t>
  </si>
  <si>
    <t>{jsdata.clocking[687].date}</t>
  </si>
  <si>
    <t>{jsdata.clocking[687].clocking}</t>
  </si>
  <si>
    <t>{jsdata.clocking[688].date}</t>
  </si>
  <si>
    <t>{jsdata.clocking[688].clocking}</t>
  </si>
  <si>
    <t>{jsdata.clocking[689].date}</t>
  </si>
  <si>
    <t>{jsdata.clocking[689].clocking}</t>
  </si>
  <si>
    <t>{jsdata.clocking[690].date}</t>
  </si>
  <si>
    <t>{jsdata.clocking[690].clocking}</t>
  </si>
  <si>
    <t>{jsdata.clocking[691].date}</t>
  </si>
  <si>
    <t>{jsdata.clocking[691].clocking}</t>
  </si>
  <si>
    <t>{jsdata.clocking[692].date}</t>
  </si>
  <si>
    <t>{jsdata.clocking[692].clocking}</t>
  </si>
  <si>
    <t>{jsdata.clocking[693].date}</t>
  </si>
  <si>
    <t>{jsdata.clocking[693].clocking}</t>
  </si>
  <si>
    <t>{jsdata.clocking[694].date}</t>
  </si>
  <si>
    <t>{jsdata.clocking[694].clocking}</t>
  </si>
  <si>
    <t>{jsdata.clocking[695].date}</t>
  </si>
  <si>
    <t>{jsdata.clocking[695].clocking}</t>
  </si>
  <si>
    <t>{jsdata.clocking[696].date}</t>
  </si>
  <si>
    <t>{jsdata.clocking[696].clocking}</t>
  </si>
  <si>
    <t>{jsdata.clocking[697].date}</t>
  </si>
  <si>
    <t>{jsdata.clocking[697].clocking}</t>
  </si>
  <si>
    <t>{jsdata.clocking[698].date}</t>
  </si>
  <si>
    <t>{jsdata.clocking[698].clocking}</t>
  </si>
  <si>
    <t>{jsdata.clocking[699].date}</t>
  </si>
  <si>
    <t>{jsdata.clocking[699].clocking}</t>
  </si>
  <si>
    <t>{jsdata.clocking[700].date}</t>
  </si>
  <si>
    <t>{jsdata.clocking[700].clocking}</t>
  </si>
  <si>
    <t>{jsdata.clocking[701].date}</t>
  </si>
  <si>
    <t>{jsdata.clocking[701].clocking}</t>
  </si>
  <si>
    <t>{jsdata.clocking[702].date}</t>
  </si>
  <si>
    <t>{jsdata.clocking[702].clocking}</t>
  </si>
  <si>
    <t>{jsdata.clocking[703].date}</t>
  </si>
  <si>
    <t>{jsdata.clocking[703].clocking}</t>
  </si>
  <si>
    <t>{jsdata.clocking[704].date}</t>
  </si>
  <si>
    <t>{jsdata.clocking[704].clocking}</t>
  </si>
  <si>
    <t>{jsdata.clocking[705].date}</t>
  </si>
  <si>
    <t>{jsdata.clocking[705].clocking}</t>
  </si>
  <si>
    <t>{jsdata.clocking[706].date}</t>
  </si>
  <si>
    <t>{jsdata.clocking[706].clocking}</t>
  </si>
  <si>
    <t>{jsdata.clocking[707].date}</t>
  </si>
  <si>
    <t>{jsdata.clocking[707].clocking}</t>
  </si>
  <si>
    <t>{jsdata.clocking[708].date}</t>
  </si>
  <si>
    <t>{jsdata.clocking[708].clocking}</t>
  </si>
  <si>
    <t>{jsdata.clocking[709].date}</t>
  </si>
  <si>
    <t>{jsdata.clocking[709].clocking}</t>
  </si>
  <si>
    <t>{jsdata.clocking[710].date}</t>
  </si>
  <si>
    <t>{jsdata.clocking[710].clocking}</t>
  </si>
  <si>
    <t>{jsdata.clocking[711].date}</t>
  </si>
  <si>
    <t>{jsdata.clocking[711].clocking}</t>
  </si>
  <si>
    <t>{jsdata.clocking[712].date}</t>
  </si>
  <si>
    <t>{jsdata.clocking[712].clocking}</t>
  </si>
  <si>
    <t>{jsdata.clocking[713].date}</t>
  </si>
  <si>
    <t>{jsdata.clocking[713].clocking}</t>
  </si>
  <si>
    <t>{jsdata.clocking[714].date}</t>
  </si>
  <si>
    <t>{jsdata.clocking[714].clocking}</t>
  </si>
  <si>
    <t>{jsdata.clocking[715].date}</t>
  </si>
  <si>
    <t>{jsdata.clocking[715].clocking}</t>
  </si>
  <si>
    <t>{jsdata.clocking[716].date}</t>
  </si>
  <si>
    <t>{jsdata.clocking[716].clocking}</t>
  </si>
  <si>
    <t>{jsdata.clocking[717].date}</t>
  </si>
  <si>
    <t>{jsdata.clocking[717].clocking}</t>
  </si>
  <si>
    <t>{jsdata.clocking[718].date}</t>
  </si>
  <si>
    <t>{jsdata.clocking[718].clocking}</t>
  </si>
  <si>
    <t>{jsdata.clocking[719].date}</t>
  </si>
  <si>
    <t>{jsdata.clocking[719].clocking}</t>
  </si>
  <si>
    <t>{jsdata.clocking[720].date}</t>
  </si>
  <si>
    <t>{jsdata.clocking[720].clocking}</t>
  </si>
  <si>
    <t>{jsdata.clocking[721].date}</t>
  </si>
  <si>
    <t>{jsdata.clocking[721].clocking}</t>
  </si>
  <si>
    <t>{jsdata.clocking[722].date}</t>
  </si>
  <si>
    <t>{jsdata.clocking[722].clocking}</t>
  </si>
  <si>
    <t>{jsdata.clocking[723].date}</t>
  </si>
  <si>
    <t>{jsdata.clocking[723].clocking}</t>
  </si>
  <si>
    <t>{jsdata.clocking[724].date}</t>
  </si>
  <si>
    <t>{jsdata.clocking[724].clocking}</t>
  </si>
  <si>
    <t>{jsdata.clocking[725].date}</t>
  </si>
  <si>
    <t>{jsdata.clocking[725].clocking}</t>
  </si>
  <si>
    <t>{jsdata.clocking[726].date}</t>
  </si>
  <si>
    <t>{jsdata.clocking[726].clocking}</t>
  </si>
  <si>
    <t>{jsdata.clocking[727].date}</t>
  </si>
  <si>
    <t>{jsdata.clocking[727].clocking}</t>
  </si>
  <si>
    <t>{jsdata.clocking[728].date}</t>
  </si>
  <si>
    <t>{jsdata.clocking[728].clocking}</t>
  </si>
  <si>
    <t>{jsdata.clocking[729].date}</t>
  </si>
  <si>
    <t>{jsdata.clocking[729].clocking}</t>
  </si>
  <si>
    <t>{jsdata.clocking[730].date}</t>
  </si>
  <si>
    <t>{jsdata.clocking[730].clocking}</t>
  </si>
  <si>
    <t>{jsdata.clocking[731].date}</t>
  </si>
  <si>
    <t>{jsdata.clocking[731].clocking}</t>
  </si>
  <si>
    <t>{jsdata.clocking[732].date}</t>
  </si>
  <si>
    <t>{jsdata.clocking[732].clocking}</t>
  </si>
  <si>
    <t>{jsdata.clocking[733].date}</t>
  </si>
  <si>
    <t>{jsdata.clocking[733].clocking}</t>
  </si>
  <si>
    <t>{jsdata.clocking[734].date}</t>
  </si>
  <si>
    <t>{jsdata.clocking[734].clocking}</t>
  </si>
  <si>
    <t>{jsdata.clocking[735].date}</t>
  </si>
  <si>
    <t>{jsdata.clocking[735].clocking}</t>
  </si>
  <si>
    <t>{jsdata.clocking[736].date}</t>
  </si>
  <si>
    <t>{jsdata.clocking[736].clocking}</t>
  </si>
  <si>
    <t>{jsdata.clocking[737].date}</t>
  </si>
  <si>
    <t>{jsdata.clocking[737].clocking}</t>
  </si>
  <si>
    <t>{jsdata.clocking[738].date}</t>
  </si>
  <si>
    <t>{jsdata.clocking[738].clocking}</t>
  </si>
  <si>
    <t>{jsdata.clocking[739].date}</t>
  </si>
  <si>
    <t>{jsdata.clocking[739].clocking}</t>
  </si>
  <si>
    <t>{jsdata.clocking[740].date}</t>
  </si>
  <si>
    <t>{jsdata.clocking[740].clocking}</t>
  </si>
  <si>
    <t>{jsdata.clocking[741].date}</t>
  </si>
  <si>
    <t>{jsdata.clocking[741].clocking}</t>
  </si>
  <si>
    <t>{jsdata.clocking[742].date}</t>
  </si>
  <si>
    <t>{jsdata.clocking[742].clocking}</t>
  </si>
  <si>
    <t>{jsdata.clocking[743].date}</t>
  </si>
  <si>
    <t>{jsdata.clocking[743].clocking}</t>
  </si>
  <si>
    <t>{jsdata.clocking[744].date}</t>
  </si>
  <si>
    <t>{jsdata.clocking[744].clocking}</t>
  </si>
  <si>
    <t>{jsdata.clocking[745].date}</t>
  </si>
  <si>
    <t>{jsdata.clocking[745].clocking}</t>
  </si>
  <si>
    <t>{jsdata.clocking[746].date}</t>
  </si>
  <si>
    <t>{jsdata.clocking[746].clocking}</t>
  </si>
  <si>
    <t>{jsdata.clocking[747].date}</t>
  </si>
  <si>
    <t>{jsdata.clocking[747].clocking}</t>
  </si>
  <si>
    <t>{jsdata.clocking[748].date}</t>
  </si>
  <si>
    <t>{jsdata.clocking[748].clocking}</t>
  </si>
  <si>
    <t>{jsdata.clocking[749].date}</t>
  </si>
  <si>
    <t>{jsdata.clocking[749].clocking}</t>
  </si>
  <si>
    <t>{jsdata.clocking[750].date}</t>
  </si>
  <si>
    <t>{jsdata.clocking[750].clocking}</t>
  </si>
  <si>
    <t>{jsdata.clocking[751].date}</t>
  </si>
  <si>
    <t>{jsdata.clocking[751].clocking}</t>
  </si>
  <si>
    <t>{jsdata.clocking[752].date}</t>
  </si>
  <si>
    <t>{jsdata.clocking[752].clocking}</t>
  </si>
  <si>
    <t>{jsdata.clocking[753].date}</t>
  </si>
  <si>
    <t>{jsdata.clocking[753].clocking}</t>
  </si>
  <si>
    <t>{jsdata.clocking[754].date}</t>
  </si>
  <si>
    <t>{jsdata.clocking[754].clocking}</t>
  </si>
  <si>
    <t>{jsdata.clocking[755].date}</t>
  </si>
  <si>
    <t>{jsdata.clocking[755].clocking}</t>
  </si>
  <si>
    <t>{jsdata.clocking[756].date}</t>
  </si>
  <si>
    <t>{jsdata.clocking[756].clocking}</t>
  </si>
  <si>
    <t>{jsdata.clocking[757].date}</t>
  </si>
  <si>
    <t>{jsdata.clocking[757].clocking}</t>
  </si>
  <si>
    <t>{jsdata.clocking[758].date}</t>
  </si>
  <si>
    <t>{jsdata.clocking[758].clocking}</t>
  </si>
  <si>
    <t>{jsdata.clocking[759].date}</t>
  </si>
  <si>
    <t>{jsdata.clocking[759].clocking}</t>
  </si>
  <si>
    <t>{jsdata.clocking[760].date}</t>
  </si>
  <si>
    <t>{jsdata.clocking[760].clocking}</t>
  </si>
  <si>
    <t>{jsdata.clocking[761].date}</t>
  </si>
  <si>
    <t>{jsdata.clocking[761].clocking}</t>
  </si>
  <si>
    <t>{jsdata.clocking[762].date}</t>
  </si>
  <si>
    <t>{jsdata.clocking[762].clocking}</t>
  </si>
  <si>
    <t>{jsdata.clocking[763].date}</t>
  </si>
  <si>
    <t>{jsdata.clocking[763].clocking}</t>
  </si>
  <si>
    <t>{jsdata.clocking[764].date}</t>
  </si>
  <si>
    <t>{jsdata.clocking[764].clocking}</t>
  </si>
  <si>
    <t>{jsdata.clocking[765].date}</t>
  </si>
  <si>
    <t>{jsdata.clocking[765].clocking}</t>
  </si>
  <si>
    <t>{jsdata.clocking[766].date}</t>
  </si>
  <si>
    <t>{jsdata.clocking[766].clocking}</t>
  </si>
  <si>
    <t>{jsdata.clocking[767].date}</t>
  </si>
  <si>
    <t>{jsdata.clocking[767].clocking}</t>
  </si>
  <si>
    <t>{jsdata.clocking[768].date}</t>
  </si>
  <si>
    <t>{jsdata.clocking[768].clocking}</t>
  </si>
  <si>
    <t>{jsdata.clocking[769].date}</t>
  </si>
  <si>
    <t>{jsdata.clocking[769].clocking}</t>
  </si>
  <si>
    <t>{jsdata.clocking[770].date}</t>
  </si>
  <si>
    <t>{jsdata.clocking[770].clocking}</t>
  </si>
  <si>
    <t>{jsdata.clocking[771].date}</t>
  </si>
  <si>
    <t>{jsdata.clocking[771].clocking}</t>
  </si>
  <si>
    <t>{jsdata.clocking[772].date}</t>
  </si>
  <si>
    <t>{jsdata.clocking[772].clocking}</t>
  </si>
  <si>
    <t>{jsdata.clocking[773].date}</t>
  </si>
  <si>
    <t>{jsdata.clocking[773].clocking}</t>
  </si>
  <si>
    <t>{jsdata.clocking[774].date}</t>
  </si>
  <si>
    <t>{jsdata.clocking[774].clocking}</t>
  </si>
  <si>
    <t>{jsdata.clocking[775].date}</t>
  </si>
  <si>
    <t>{jsdata.clocking[775].clocking}</t>
  </si>
  <si>
    <t>{jsdata.clocking[776].date}</t>
  </si>
  <si>
    <t>{jsdata.clocking[776].clocking}</t>
  </si>
  <si>
    <t>{jsdata.clocking[777].date}</t>
  </si>
  <si>
    <t>{jsdata.clocking[777].clocking}</t>
  </si>
  <si>
    <t>{jsdata.clocking[778].date}</t>
  </si>
  <si>
    <t>{jsdata.clocking[778].clocking}</t>
  </si>
  <si>
    <t>{jsdata.clocking[779].date}</t>
  </si>
  <si>
    <t>{jsdata.clocking[779].clocking}</t>
  </si>
  <si>
    <t>{jsdata.clocking[780].date}</t>
  </si>
  <si>
    <t>{jsdata.clocking[780].clocking}</t>
  </si>
  <si>
    <t>{jsdata.clocking[781].date}</t>
  </si>
  <si>
    <t>{jsdata.clocking[781].clocking}</t>
  </si>
  <si>
    <t>{jsdata.clocking[782].date}</t>
  </si>
  <si>
    <t>{jsdata.clocking[782].clocking}</t>
  </si>
  <si>
    <t>{jsdata.clocking[783].date}</t>
  </si>
  <si>
    <t>{jsdata.clocking[783].clocking}</t>
  </si>
  <si>
    <t>{jsdata.clocking[784].date}</t>
  </si>
  <si>
    <t>{jsdata.clocking[784].clocking}</t>
  </si>
  <si>
    <t>{jsdata.clocking[785].date}</t>
  </si>
  <si>
    <t>{jsdata.clocking[785].clocking}</t>
  </si>
  <si>
    <t>{jsdata.clocking[786].date}</t>
  </si>
  <si>
    <t>{jsdata.clocking[786].clocking}</t>
  </si>
  <si>
    <t>{jsdata.clocking[787].date}</t>
  </si>
  <si>
    <t>{jsdata.clocking[787].clocking}</t>
  </si>
  <si>
    <t>{jsdata.clocking[788].date}</t>
  </si>
  <si>
    <t>{jsdata.clocking[788].clocking}</t>
  </si>
  <si>
    <t>{jsdata.clocking[789].date}</t>
  </si>
  <si>
    <t>{jsdata.clocking[789].clocking}</t>
  </si>
  <si>
    <t>{jsdata.clocking[790].date}</t>
  </si>
  <si>
    <t>{jsdata.clocking[790].clocking}</t>
  </si>
  <si>
    <t>{jsdata.clocking[791].date}</t>
  </si>
  <si>
    <t>{jsdata.clocking[791].clocking}</t>
  </si>
  <si>
    <t>{jsdata.clocking[792].date}</t>
  </si>
  <si>
    <t>{jsdata.clocking[792].clocking}</t>
  </si>
  <si>
    <t>{jsdata.clocking[793].date}</t>
  </si>
  <si>
    <t>{jsdata.clocking[793].clocking}</t>
  </si>
  <si>
    <t>{jsdata.clocking[794].date}</t>
  </si>
  <si>
    <t>{jsdata.clocking[794].clocking}</t>
  </si>
  <si>
    <t>{jsdata.clocking[795].date}</t>
  </si>
  <si>
    <t>{jsdata.clocking[795].clocking}</t>
  </si>
  <si>
    <t>{jsdata.clocking[796].date}</t>
  </si>
  <si>
    <t>{jsdata.clocking[796].clocking}</t>
  </si>
  <si>
    <t>{jsdata.clocking[797].date}</t>
  </si>
  <si>
    <t>{jsdata.clocking[797].clocking}</t>
  </si>
  <si>
    <t>{jsdata.clocking[798].date}</t>
  </si>
  <si>
    <t>{jsdata.clocking[798].clocking}</t>
  </si>
  <si>
    <t>{jsdata.clocking[799].date}</t>
  </si>
  <si>
    <t>{jsdata.clocking[799].clocking}</t>
  </si>
  <si>
    <t>{jsdata.clocking[800].date}</t>
  </si>
  <si>
    <t>{jsdata.clocking[800].clocking}</t>
  </si>
  <si>
    <t>{jsdata.clocking[801].date}</t>
  </si>
  <si>
    <t>{jsdata.clocking[801].clocking}</t>
  </si>
  <si>
    <t>{jsdata.clocking[802].date}</t>
  </si>
  <si>
    <t>{jsdata.clocking[802].clocking}</t>
  </si>
  <si>
    <t>{jsdata.clocking[803].date}</t>
  </si>
  <si>
    <t>{jsdata.clocking[803].clocking}</t>
  </si>
  <si>
    <t>{jsdata.clocking[804].date}</t>
  </si>
  <si>
    <t>{jsdata.clocking[804].clocking}</t>
  </si>
  <si>
    <t>{jsdata.clocking[805].date}</t>
  </si>
  <si>
    <t>{jsdata.clocking[805].clocking}</t>
  </si>
  <si>
    <t>{jsdata.clocking[806].date}</t>
  </si>
  <si>
    <t>{jsdata.clocking[806].clocking}</t>
  </si>
  <si>
    <t>{jsdata.clocking[807].date}</t>
  </si>
  <si>
    <t>{jsdata.clocking[807].clocking}</t>
  </si>
  <si>
    <t>{jsdata.clocking[808].date}</t>
  </si>
  <si>
    <t>{jsdata.clocking[808].clocking}</t>
  </si>
  <si>
    <t>{jsdata.clocking[809].date}</t>
  </si>
  <si>
    <t>{jsdata.clocking[809].clocking}</t>
  </si>
  <si>
    <t>{jsdata.clocking[810].date}</t>
  </si>
  <si>
    <t>{jsdata.clocking[810].clocking}</t>
  </si>
  <si>
    <t>{jsdata.clocking[811].date}</t>
  </si>
  <si>
    <t>{jsdata.clocking[811].clocking}</t>
  </si>
  <si>
    <t>{jsdata.clocking[812].date}</t>
  </si>
  <si>
    <t>{jsdata.clocking[812].clocking}</t>
  </si>
  <si>
    <t>{jsdata.clocking[813].date}</t>
  </si>
  <si>
    <t>{jsdata.clocking[813].clocking}</t>
  </si>
  <si>
    <t>{jsdata.clocking[814].date}</t>
  </si>
  <si>
    <t>{jsdata.clocking[814].clocking}</t>
  </si>
  <si>
    <t>{jsdata.clocking[815].date}</t>
  </si>
  <si>
    <t>{jsdata.clocking[815].clocking}</t>
  </si>
  <si>
    <t>{jsdata.clocking[816].date}</t>
  </si>
  <si>
    <t>{jsdata.clocking[816].clocking}</t>
  </si>
  <si>
    <t>{jsdata.clocking[817].date}</t>
  </si>
  <si>
    <t>{jsdata.clocking[817].clocking}</t>
  </si>
  <si>
    <t>{jsdata.clocking[818].date}</t>
  </si>
  <si>
    <t>{jsdata.clocking[818].clocking}</t>
  </si>
  <si>
    <t>{jsdata.clocking[819].date}</t>
  </si>
  <si>
    <t>{jsdata.clocking[819].clocking}</t>
  </si>
  <si>
    <t>{jsdata.clocking[820].date}</t>
  </si>
  <si>
    <t>{jsdata.clocking[820].clocking}</t>
  </si>
  <si>
    <t>{jsdata.clocking[821].date}</t>
  </si>
  <si>
    <t>{jsdata.clocking[821].clocking}</t>
  </si>
  <si>
    <t>{jsdata.clocking[822].date}</t>
  </si>
  <si>
    <t>{jsdata.clocking[822].clocking}</t>
  </si>
  <si>
    <t>{jsdata.clocking[823].date}</t>
  </si>
  <si>
    <t>{jsdata.clocking[823].clocking}</t>
  </si>
  <si>
    <t>{jsdata.clocking[824].date}</t>
  </si>
  <si>
    <t>{jsdata.clocking[824].clocking}</t>
  </si>
  <si>
    <t>{jsdata.clocking[825].date}</t>
  </si>
  <si>
    <t>{jsdata.clocking[825].clocking}</t>
  </si>
  <si>
    <t>{jsdata.clocking[826].date}</t>
  </si>
  <si>
    <t>{jsdata.clocking[826].clocking}</t>
  </si>
  <si>
    <t>{jsdata.clocking[827].date}</t>
  </si>
  <si>
    <t>{jsdata.clocking[827].clocking}</t>
  </si>
  <si>
    <t>{jsdata.clocking[828].date}</t>
  </si>
  <si>
    <t>{jsdata.clocking[828].clocking}</t>
  </si>
  <si>
    <t>{jsdata.clocking[829].date}</t>
  </si>
  <si>
    <t>{jsdata.clocking[829].clocking}</t>
  </si>
  <si>
    <t>{jsdata.clocking[830].date}</t>
  </si>
  <si>
    <t>{jsdata.clocking[830].clocking}</t>
  </si>
  <si>
    <t>{jsdata.clocking[831].date}</t>
  </si>
  <si>
    <t>{jsdata.clocking[831].clocking}</t>
  </si>
  <si>
    <t>{jsdata.clocking[832].date}</t>
  </si>
  <si>
    <t>{jsdata.clocking[832].clocking}</t>
  </si>
  <si>
    <t>{jsdata.clocking[833].date}</t>
  </si>
  <si>
    <t>{jsdata.clocking[833].clocking}</t>
  </si>
  <si>
    <t>{jsdata.clocking[834].date}</t>
  </si>
  <si>
    <t>{jsdata.clocking[834].clocking}</t>
  </si>
  <si>
    <t>{jsdata.clocking[835].date}</t>
  </si>
  <si>
    <t>{jsdata.clocking[835].clocking}</t>
  </si>
  <si>
    <t>{jsdata.clocking[836].date}</t>
  </si>
  <si>
    <t>{jsdata.clocking[836].clocking}</t>
  </si>
  <si>
    <t>{jsdata.clocking[837].date}</t>
  </si>
  <si>
    <t>{jsdata.clocking[837].clocking}</t>
  </si>
  <si>
    <t>{jsdata.clocking[838].date}</t>
  </si>
  <si>
    <t>{jsdata.clocking[838].clocking}</t>
  </si>
  <si>
    <t>{jsdata.clocking[839].date}</t>
  </si>
  <si>
    <t>{jsdata.clocking[839].clocking}</t>
  </si>
  <si>
    <t>{jsdata.clocking[840].date}</t>
  </si>
  <si>
    <t>{jsdata.clocking[840].clocking}</t>
  </si>
  <si>
    <t>{jsdata.clocking[841].date}</t>
  </si>
  <si>
    <t>{jsdata.clocking[841].clocking}</t>
  </si>
  <si>
    <t>{jsdata.clocking[842].date}</t>
  </si>
  <si>
    <t>{jsdata.clocking[842].clocking}</t>
  </si>
  <si>
    <t>{jsdata.clocking[843].date}</t>
  </si>
  <si>
    <t>{jsdata.clocking[843].clocking}</t>
  </si>
  <si>
    <t>{jsdata.clocking[844].date}</t>
  </si>
  <si>
    <t>{jsdata.clocking[844].clocking}</t>
  </si>
  <si>
    <t>{jsdata.clocking[845].date}</t>
  </si>
  <si>
    <t>{jsdata.clocking[845].clocking}</t>
  </si>
  <si>
    <t>{jsdata.clocking[846].date}</t>
  </si>
  <si>
    <t>{jsdata.clocking[846].clocking}</t>
  </si>
  <si>
    <t>{jsdata.clocking[847].date}</t>
  </si>
  <si>
    <t>{jsdata.clocking[847].clocking}</t>
  </si>
  <si>
    <t>{jsdata.clocking[848].date}</t>
  </si>
  <si>
    <t>{jsdata.clocking[848].clocking}</t>
  </si>
  <si>
    <t>{jsdata.clocking[849].date}</t>
  </si>
  <si>
    <t>{jsdata.clocking[849].clocking}</t>
  </si>
  <si>
    <t>{jsdata.clocking[850].date}</t>
  </si>
  <si>
    <t>{jsdata.clocking[850].clocking}</t>
  </si>
  <si>
    <t>{jsdata.clocking[851].date}</t>
  </si>
  <si>
    <t>{jsdata.clocking[851].clocking}</t>
  </si>
  <si>
    <t>{jsdata.clocking[852].date}</t>
  </si>
  <si>
    <t>{jsdata.clocking[852].clocking}</t>
  </si>
  <si>
    <t>{jsdata.clocking[853].date}</t>
  </si>
  <si>
    <t>{jsdata.clocking[853].clocking}</t>
  </si>
  <si>
    <t>{jsdata.clocking[854].date}</t>
  </si>
  <si>
    <t>{jsdata.clocking[854].clocking}</t>
  </si>
  <si>
    <t>{jsdata.clocking[855].date}</t>
  </si>
  <si>
    <t>{jsdata.clocking[855].clocking}</t>
  </si>
  <si>
    <t>{jsdata.clocking[856].date}</t>
  </si>
  <si>
    <t>{jsdata.clocking[856].clocking}</t>
  </si>
  <si>
    <t>{jsdata.clocking[857].date}</t>
  </si>
  <si>
    <t>{jsdata.clocking[857].clocking}</t>
  </si>
  <si>
    <t>{jsdata.clocking[858].date}</t>
  </si>
  <si>
    <t>{jsdata.clocking[858].clocking}</t>
  </si>
  <si>
    <t>{jsdata.clocking[859].date}</t>
  </si>
  <si>
    <t>{jsdata.clocking[859].clocking}</t>
  </si>
  <si>
    <t>{jsdata.clocking[860].date}</t>
  </si>
  <si>
    <t>{jsdata.clocking[860].clocking}</t>
  </si>
  <si>
    <t>{jsdata.clocking[861].date}</t>
  </si>
  <si>
    <t>{jsdata.clocking[861].clocking}</t>
  </si>
  <si>
    <t>{jsdata.clocking[862].date}</t>
  </si>
  <si>
    <t>{jsdata.clocking[862].clocking}</t>
  </si>
  <si>
    <t>{jsdata.clocking[863].date}</t>
  </si>
  <si>
    <t>{jsdata.clocking[863].clocking}</t>
  </si>
  <si>
    <t>{jsdata.clocking[864].date}</t>
  </si>
  <si>
    <t>{jsdata.clocking[864].clocking}</t>
  </si>
  <si>
    <t>{jsdata.clocking[865].date}</t>
  </si>
  <si>
    <t>{jsdata.clocking[865].clocking}</t>
  </si>
  <si>
    <t>{jsdata.clocking[866].date}</t>
  </si>
  <si>
    <t>{jsdata.clocking[866].clocking}</t>
  </si>
  <si>
    <t>{jsdata.clocking[867].date}</t>
  </si>
  <si>
    <t>{jsdata.clocking[867].clocking}</t>
  </si>
  <si>
    <t>{jsdata.clocking[868].date}</t>
  </si>
  <si>
    <t>{jsdata.clocking[868].clocking}</t>
  </si>
  <si>
    <t>{jsdata.clocking[869].date}</t>
  </si>
  <si>
    <t>{jsdata.clocking[869].clocking}</t>
  </si>
  <si>
    <t>{jsdata.clocking[870].date}</t>
  </si>
  <si>
    <t>{jsdata.clocking[870].clocking}</t>
  </si>
  <si>
    <t>{jsdata.clocking[871].date}</t>
  </si>
  <si>
    <t>{jsdata.clocking[871].clocking}</t>
  </si>
  <si>
    <t>{jsdata.clocking[872].date}</t>
  </si>
  <si>
    <t>{jsdata.clocking[872].clocking}</t>
  </si>
  <si>
    <t>{jsdata.clocking[873].date}</t>
  </si>
  <si>
    <t>{jsdata.clocking[873].clocking}</t>
  </si>
  <si>
    <t>{jsdata.clocking[874].date}</t>
  </si>
  <si>
    <t>{jsdata.clocking[874].clocking}</t>
  </si>
  <si>
    <t>{jsdata.clocking[875].date}</t>
  </si>
  <si>
    <t>{jsdata.clocking[875].clocking}</t>
  </si>
  <si>
    <t>{jsdata.clocking[876].date}</t>
  </si>
  <si>
    <t>{jsdata.clocking[876].clocking}</t>
  </si>
  <si>
    <t>{jsdata.clocking[877].date}</t>
  </si>
  <si>
    <t>{jsdata.clocking[877].clocking}</t>
  </si>
  <si>
    <t>{jsdata.clocking[878].date}</t>
  </si>
  <si>
    <t>{jsdata.clocking[878].clocking}</t>
  </si>
  <si>
    <t>{jsdata.clocking[879].date}</t>
  </si>
  <si>
    <t>{jsdata.clocking[879].clocking}</t>
  </si>
  <si>
    <t>{jsdata.clocking[880].date}</t>
  </si>
  <si>
    <t>{jsdata.clocking[880].clocking}</t>
  </si>
  <si>
    <t>{jsdata.clocking[881].date}</t>
  </si>
  <si>
    <t>{jsdata.clocking[881].clocking}</t>
  </si>
  <si>
    <t>{jsdata.clocking[882].date}</t>
  </si>
  <si>
    <t>{jsdata.clocking[882].clocking}</t>
  </si>
  <si>
    <t>{jsdata.clocking[883].date}</t>
  </si>
  <si>
    <t>{jsdata.clocking[883].clocking}</t>
  </si>
  <si>
    <t>{jsdata.clocking[884].date}</t>
  </si>
  <si>
    <t>{jsdata.clocking[884].clocking}</t>
  </si>
  <si>
    <t>{jsdata.clocking[885].date}</t>
  </si>
  <si>
    <t>{jsdata.clocking[885].clocking}</t>
  </si>
  <si>
    <t>{jsdata.clocking[886].date}</t>
  </si>
  <si>
    <t>{jsdata.clocking[886].clocking}</t>
  </si>
  <si>
    <t>{jsdata.clocking[887].date}</t>
  </si>
  <si>
    <t>{jsdata.clocking[887].clocking}</t>
  </si>
  <si>
    <t>{jsdata.clocking[888].date}</t>
  </si>
  <si>
    <t>{jsdata.clocking[888].clocking}</t>
  </si>
  <si>
    <t>{jsdata.clocking[889].date}</t>
  </si>
  <si>
    <t>{jsdata.clocking[889].clocking}</t>
  </si>
  <si>
    <t>{jsdata.clocking[890].date}</t>
  </si>
  <si>
    <t>{jsdata.clocking[890].clocking}</t>
  </si>
  <si>
    <t>{jsdata.clocking[891].date}</t>
  </si>
  <si>
    <t>{jsdata.clocking[891].clocking}</t>
  </si>
  <si>
    <t>{jsdata.clocking[892].date}</t>
  </si>
  <si>
    <t>{jsdata.clocking[892].clocking}</t>
  </si>
  <si>
    <t>{jsdata.clocking[893].date}</t>
  </si>
  <si>
    <t>{jsdata.clocking[893].clocking}</t>
  </si>
  <si>
    <t>{jsdata.clocking[894].date}</t>
  </si>
  <si>
    <t>{jsdata.clocking[894].clocking}</t>
  </si>
  <si>
    <t>{jsdata.clocking[895].date}</t>
  </si>
  <si>
    <t>{jsdata.clocking[895].clocking}</t>
  </si>
  <si>
    <t>{jsdata.clocking[896].date}</t>
  </si>
  <si>
    <t>{jsdata.clocking[896].clocking}</t>
  </si>
  <si>
    <t>{jsdata.clocking[897].date}</t>
  </si>
  <si>
    <t>{jsdata.clocking[897].clocking}</t>
  </si>
  <si>
    <t>{jsdata.clocking[898].date}</t>
  </si>
  <si>
    <t>{jsdata.clocking[898].clocking}</t>
  </si>
  <si>
    <t>{jsdata.clocking[899].date}</t>
  </si>
  <si>
    <t>{jsdata.clocking[899].clocking}</t>
  </si>
  <si>
    <t>{jsdata.clocking[900].date}</t>
  </si>
  <si>
    <t>{jsdata.clocking[900].clocking}</t>
  </si>
  <si>
    <t>{jsdata.clocking[901].date}</t>
  </si>
  <si>
    <t>{jsdata.clocking[901].clocking}</t>
  </si>
  <si>
    <t>{jsdata.clocking[902].date}</t>
  </si>
  <si>
    <t>{jsdata.clocking[902].clocking}</t>
  </si>
  <si>
    <t>{jsdata.clocking[903].date}</t>
  </si>
  <si>
    <t>{jsdata.clocking[903].clocking}</t>
  </si>
  <si>
    <t>{jsdata.clocking[904].date}</t>
  </si>
  <si>
    <t>{jsdata.clocking[904].clocking}</t>
  </si>
  <si>
    <t>{jsdata.clocking[905].date}</t>
  </si>
  <si>
    <t>{jsdata.clocking[905].clocking}</t>
  </si>
  <si>
    <t>{jsdata.clocking[906].date}</t>
  </si>
  <si>
    <t>{jsdata.clocking[906].clocking}</t>
  </si>
  <si>
    <t>{jsdata.clocking[907].date}</t>
  </si>
  <si>
    <t>{jsdata.clocking[907].clocking}</t>
  </si>
  <si>
    <t>{jsdata.clocking[908].date}</t>
  </si>
  <si>
    <t>{jsdata.clocking[908].clocking}</t>
  </si>
  <si>
    <t>{jsdata.clocking[909].date}</t>
  </si>
  <si>
    <t>{jsdata.clocking[909].clocking}</t>
  </si>
  <si>
    <t>{jsdata.clocking[910].date}</t>
  </si>
  <si>
    <t>{jsdata.clocking[910].clocking}</t>
  </si>
  <si>
    <t>{jsdata.clocking[911].date}</t>
  </si>
  <si>
    <t>{jsdata.clocking[911].clocking}</t>
  </si>
  <si>
    <t>{jsdata.clocking[912].date}</t>
  </si>
  <si>
    <t>{jsdata.clocking[912].clocking}</t>
  </si>
  <si>
    <t>{jsdata.clocking[913].date}</t>
  </si>
  <si>
    <t>{jsdata.clocking[913].clocking}</t>
  </si>
  <si>
    <t>{jsdata.clocking[914].date}</t>
  </si>
  <si>
    <t>{jsdata.clocking[914].clocking}</t>
  </si>
  <si>
    <t>{jsdata.clocking[915].date}</t>
  </si>
  <si>
    <t>{jsdata.clocking[915].clocking}</t>
  </si>
  <si>
    <t>{jsdata.clocking[916].date}</t>
  </si>
  <si>
    <t>{jsdata.clocking[916].clocking}</t>
  </si>
  <si>
    <t>{jsdata.clocking[917].date}</t>
  </si>
  <si>
    <t>{jsdata.clocking[917].clocking}</t>
  </si>
  <si>
    <t>{jsdata.clocking[918].date}</t>
  </si>
  <si>
    <t>{jsdata.clocking[918].clocking}</t>
  </si>
  <si>
    <t>{jsdata.clocking[919].date}</t>
  </si>
  <si>
    <t>{jsdata.clocking[919].clocking}</t>
  </si>
  <si>
    <t>{jsdata.clocking[920].date}</t>
  </si>
  <si>
    <t>{jsdata.clocking[920].clocking}</t>
  </si>
  <si>
    <t>{jsdata.clocking[921].date}</t>
  </si>
  <si>
    <t>{jsdata.clocking[921].clocking}</t>
  </si>
  <si>
    <t>{jsdata.clocking[922].date}</t>
  </si>
  <si>
    <t>{jsdata.clocking[922].clocking}</t>
  </si>
  <si>
    <t>{jsdata.clocking[923].date}</t>
  </si>
  <si>
    <t>{jsdata.clocking[923].clocking}</t>
  </si>
  <si>
    <t>{jsdata.clocking[924].date}</t>
  </si>
  <si>
    <t>{jsdata.clocking[924].clocking}</t>
  </si>
  <si>
    <t>{jsdata.clocking[925].date}</t>
  </si>
  <si>
    <t>{jsdata.clocking[925].clocking}</t>
  </si>
  <si>
    <t>{jsdata.clocking[926].date}</t>
  </si>
  <si>
    <t>{jsdata.clocking[926].clocking}</t>
  </si>
  <si>
    <t>{jsdata.clocking[927].date}</t>
  </si>
  <si>
    <t>{jsdata.clocking[927].clocking}</t>
  </si>
  <si>
    <t>{jsdata.clocking[928].date}</t>
  </si>
  <si>
    <t>{jsdata.clocking[928].clocking}</t>
  </si>
  <si>
    <t>{jsdata.clocking[929].date}</t>
  </si>
  <si>
    <t>{jsdata.clocking[929].clocking}</t>
  </si>
  <si>
    <t>{jsdata.clocking[930].date}</t>
  </si>
  <si>
    <t>{jsdata.clocking[930].clocking}</t>
  </si>
  <si>
    <t>{jsdata.clocking[931].date}</t>
  </si>
  <si>
    <t>{jsdata.clocking[931].clocking}</t>
  </si>
  <si>
    <t>{jsdata.clocking[932].date}</t>
  </si>
  <si>
    <t>{jsdata.clocking[932].clocking}</t>
  </si>
  <si>
    <t>{jsdata.clocking[933].date}</t>
  </si>
  <si>
    <t>{jsdata.clocking[933].clocking}</t>
  </si>
  <si>
    <t>{jsdata.clocking[934].date}</t>
  </si>
  <si>
    <t>{jsdata.clocking[934].clocking}</t>
  </si>
  <si>
    <t>{jsdata.clocking[935].date}</t>
  </si>
  <si>
    <t>{jsdata.clocking[935].clocking}</t>
  </si>
  <si>
    <t>{jsdata.clocking[936].date}</t>
  </si>
  <si>
    <t>{jsdata.clocking[936].clocking}</t>
  </si>
  <si>
    <t>{jsdata.clocking[937].date}</t>
  </si>
  <si>
    <t>{jsdata.clocking[937].clocking}</t>
  </si>
  <si>
    <t>{jsdata.clocking[938].date}</t>
  </si>
  <si>
    <t>{jsdata.clocking[938].clocking}</t>
  </si>
  <si>
    <t>{jsdata.clocking[939].date}</t>
  </si>
  <si>
    <t>{jsdata.clocking[939].clocking}</t>
  </si>
  <si>
    <t>{jsdata.clocking[940].date}</t>
  </si>
  <si>
    <t>{jsdata.clocking[940].clocking}</t>
  </si>
  <si>
    <t>{jsdata.clocking[941].date}</t>
  </si>
  <si>
    <t>{jsdata.clocking[941].clocking}</t>
  </si>
  <si>
    <t>{jsdata.clocking[942].date}</t>
  </si>
  <si>
    <t>{jsdata.clocking[942].clocking}</t>
  </si>
  <si>
    <t>{jsdata.clocking[943].date}</t>
  </si>
  <si>
    <t>{jsdata.clocking[943].clocking}</t>
  </si>
  <si>
    <t>{jsdata.clocking[944].date}</t>
  </si>
  <si>
    <t>{jsdata.clocking[944].clocking}</t>
  </si>
  <si>
    <t>{jsdata.clocking[945].date}</t>
  </si>
  <si>
    <t>{jsdata.clocking[945].clocking}</t>
  </si>
  <si>
    <t>{jsdata.clocking[946].date}</t>
  </si>
  <si>
    <t>{jsdata.clocking[946].clocking}</t>
  </si>
  <si>
    <t>{jsdata.clocking[947].date}</t>
  </si>
  <si>
    <t>{jsdata.clocking[947].clocking}</t>
  </si>
  <si>
    <t>{jsdata.clocking[948].date}</t>
  </si>
  <si>
    <t>{jsdata.clocking[948].clocking}</t>
  </si>
  <si>
    <t>{jsdata.clocking[949].date}</t>
  </si>
  <si>
    <t>{jsdata.clocking[949].clocking}</t>
  </si>
  <si>
    <t>{jsdata.clocking[950].date}</t>
  </si>
  <si>
    <t>{jsdata.clocking[950].clocking}</t>
  </si>
  <si>
    <t>{jsdata.clocking[951].date}</t>
  </si>
  <si>
    <t>{jsdata.clocking[951].clocking}</t>
  </si>
  <si>
    <t>{jsdata.clocking[952].date}</t>
  </si>
  <si>
    <t>{jsdata.clocking[952].clocking}</t>
  </si>
  <si>
    <t>{jsdata.clocking[953].date}</t>
  </si>
  <si>
    <t>{jsdata.clocking[953].clocking}</t>
  </si>
  <si>
    <t>{jsdata.clocking[954].date}</t>
  </si>
  <si>
    <t>{jsdata.clocking[954].clocking}</t>
  </si>
  <si>
    <t>{jsdata.clocking[955].date}</t>
  </si>
  <si>
    <t>{jsdata.clocking[955].clocking}</t>
  </si>
  <si>
    <t>{jsdata.clocking[956].date}</t>
  </si>
  <si>
    <t>{jsdata.clocking[956].clocking}</t>
  </si>
  <si>
    <t>{jsdata.clocking[957].date}</t>
  </si>
  <si>
    <t>{jsdata.clocking[957].clocking}</t>
  </si>
  <si>
    <t>{jsdata.clocking[958].date}</t>
  </si>
  <si>
    <t>{jsdata.clocking[958].clocking}</t>
  </si>
  <si>
    <t>{jsdata.clocking[959].date}</t>
  </si>
  <si>
    <t>{jsdata.clocking[959].clocking}</t>
  </si>
  <si>
    <t>{jsdata.clocking[960].date}</t>
  </si>
  <si>
    <t>{jsdata.clocking[960].clocking}</t>
  </si>
  <si>
    <t>{jsdata.clocking[961].date}</t>
  </si>
  <si>
    <t>{jsdata.clocking[961].clocking}</t>
  </si>
  <si>
    <t>{jsdata.clocking[962].date}</t>
  </si>
  <si>
    <t>{jsdata.clocking[962].clocking}</t>
  </si>
  <si>
    <t>{jsdata.clocking[963].date}</t>
  </si>
  <si>
    <t>{jsdata.clocking[963].clocking}</t>
  </si>
  <si>
    <t>{jsdata.clocking[964].date}</t>
  </si>
  <si>
    <t>{jsdata.clocking[964].clocking}</t>
  </si>
  <si>
    <t>{jsdata.clocking[965].date}</t>
  </si>
  <si>
    <t>{jsdata.clocking[965].clocking}</t>
  </si>
  <si>
    <t>{jsdata.clocking[966].date}</t>
  </si>
  <si>
    <t>{jsdata.clocking[966].clocking}</t>
  </si>
  <si>
    <t>{jsdata.clocking[967].date}</t>
  </si>
  <si>
    <t>{jsdata.clocking[967].clocking}</t>
  </si>
  <si>
    <t>{jsdata.clocking[968].date}</t>
  </si>
  <si>
    <t>{jsdata.clocking[968].clocking}</t>
  </si>
  <si>
    <t>{jsdata.clocking[969].date}</t>
  </si>
  <si>
    <t>{jsdata.clocking[969].clocking}</t>
  </si>
  <si>
    <t>{jsdata.clocking[970].date}</t>
  </si>
  <si>
    <t>{jsdata.clocking[970].clocking}</t>
  </si>
  <si>
    <t>{jsdata.clocking[971].date}</t>
  </si>
  <si>
    <t>{jsdata.clocking[971].clocking}</t>
  </si>
  <si>
    <t>{jsdata.clocking[972].date}</t>
  </si>
  <si>
    <t>{jsdata.clocking[972].clocking}</t>
  </si>
  <si>
    <t>{jsdata.clocking[973].date}</t>
  </si>
  <si>
    <t>{jsdata.clocking[973].clocking}</t>
  </si>
  <si>
    <t>{jsdata.clocking[974].date}</t>
  </si>
  <si>
    <t>{jsdata.clocking[974].clocking}</t>
  </si>
  <si>
    <t>{jsdata.clocking[975].date}</t>
  </si>
  <si>
    <t>{jsdata.clocking[975].clocking}</t>
  </si>
  <si>
    <t>{jsdata.clocking[976].date}</t>
  </si>
  <si>
    <t>{jsdata.clocking[976].clocking}</t>
  </si>
  <si>
    <t>{jsdata.clocking[977].date}</t>
  </si>
  <si>
    <t>{jsdata.clocking[977].clocking}</t>
  </si>
  <si>
    <t>{jsdata.clocking[978].date}</t>
  </si>
  <si>
    <t>{jsdata.clocking[978].clocking}</t>
  </si>
  <si>
    <t>{jsdata.clocking[979].date}</t>
  </si>
  <si>
    <t>{jsdata.clocking[979].clocking}</t>
  </si>
  <si>
    <t>{jsdata.clocking[980].date}</t>
  </si>
  <si>
    <t>{jsdata.clocking[980].clocking}</t>
  </si>
  <si>
    <t>{jsdata.clocking[981].date}</t>
  </si>
  <si>
    <t>{jsdata.clocking[981].clocking}</t>
  </si>
  <si>
    <t>{jsdata.clocking[982].date}</t>
  </si>
  <si>
    <t>{jsdata.clocking[982].clocking}</t>
  </si>
  <si>
    <t>{jsdata.clocking[983].date}</t>
  </si>
  <si>
    <t>{jsdata.clocking[983].clocking}</t>
  </si>
  <si>
    <t>{jsdata.clocking[984].date}</t>
  </si>
  <si>
    <t>{jsdata.clocking[984].clocking}</t>
  </si>
  <si>
    <t>{jsdata.clocking[985].date}</t>
  </si>
  <si>
    <t>{jsdata.clocking[985].clocking}</t>
  </si>
  <si>
    <t>{jsdata.clocking[986].date}</t>
  </si>
  <si>
    <t>{jsdata.clocking[986].clocking}</t>
  </si>
  <si>
    <t>{jsdata.clocking[987].date}</t>
  </si>
  <si>
    <t>{jsdata.clocking[987].clocking}</t>
  </si>
  <si>
    <t>{jsdata.clocking[988].date}</t>
  </si>
  <si>
    <t>{jsdata.clocking[988].clocking}</t>
  </si>
  <si>
    <t>{jsdata.clocking[989].date}</t>
  </si>
  <si>
    <t>{jsdata.clocking[989].clocking}</t>
  </si>
  <si>
    <t>{jsdata.clocking[990].date}</t>
  </si>
  <si>
    <t>{jsdata.clocking[990].clocking}</t>
  </si>
  <si>
    <t>{jsdata.clocking[991].date}</t>
  </si>
  <si>
    <t>{jsdata.clocking[991].clocking}</t>
  </si>
  <si>
    <t>{jsdata.clocking[992].date}</t>
  </si>
  <si>
    <t>{jsdata.clocking[992].clocking}</t>
  </si>
  <si>
    <t>{jsdata.clocking[993].date}</t>
  </si>
  <si>
    <t>{jsdata.clocking[993].clocking}</t>
  </si>
  <si>
    <t>{jsdata.clocking[994].date}</t>
  </si>
  <si>
    <t>{jsdata.clocking[994].clocking}</t>
  </si>
  <si>
    <t>{jsdata.clocking[995].date}</t>
  </si>
  <si>
    <t>{jsdata.clocking[995].clocking}</t>
  </si>
  <si>
    <t>{jsdata.clocking[996].date}</t>
  </si>
  <si>
    <t>{jsdata.clocking[996].clocking}</t>
  </si>
  <si>
    <t>{jsdata.clocking[997].date}</t>
  </si>
  <si>
    <t>{jsdata.clocking[997].clocking}</t>
  </si>
  <si>
    <t>{jsdata.clocking[998].date}</t>
  </si>
  <si>
    <t>{jsdata.clocking[998].clocking}</t>
  </si>
  <si>
    <t>{jsdata.clocking[999].date}</t>
  </si>
  <si>
    <t>{jsdata.clocking[999].clocking}</t>
  </si>
  <si>
    <t>{jsdata.clocking[1000].date}</t>
  </si>
  <si>
    <t>{jsdata.clocking[1000].clocking}</t>
  </si>
  <si>
    <t>{jsdata.clocking[1001].date}</t>
  </si>
  <si>
    <t>{jsdata.clocking[1001].clocking}</t>
  </si>
  <si>
    <t>{jsdata.clocking[1002].date}</t>
  </si>
  <si>
    <t>{jsdata.clocking[1002].clocking}</t>
  </si>
  <si>
    <t>{jsdata.clocking[1003].date}</t>
  </si>
  <si>
    <t>{jsdata.clocking[1003].clocking}</t>
  </si>
  <si>
    <t>{jsdata.clocking[1004].date}</t>
  </si>
  <si>
    <t>{jsdata.clocking[1004].clocking}</t>
  </si>
  <si>
    <t>{jsdata.clocking[1005].date}</t>
  </si>
  <si>
    <t>{jsdata.clocking[1005].clocking}</t>
  </si>
  <si>
    <t>{jsdata.clocking[1006].date}</t>
  </si>
  <si>
    <t>{jsdata.clocking[1006].clocking}</t>
  </si>
  <si>
    <t>{jsdata.clocking[1007].date}</t>
  </si>
  <si>
    <t>{jsdata.clocking[1007].clocking}</t>
  </si>
  <si>
    <t>{jsdata.clocking[1008].date}</t>
  </si>
  <si>
    <t>{jsdata.clocking[1008].clocking}</t>
  </si>
  <si>
    <t>{jsdata.clocking[1009].date}</t>
  </si>
  <si>
    <t>{jsdata.clocking[1009].clocking}</t>
  </si>
  <si>
    <t>{jsdata.clocking[1010].date}</t>
  </si>
  <si>
    <t>{jsdata.clocking[1010].clocking}</t>
  </si>
  <si>
    <t>{jsdata.clocking[1011].date}</t>
  </si>
  <si>
    <t>{jsdata.clocking[1011].clocking}</t>
  </si>
  <si>
    <t>{jsdata.clocking[1012].date}</t>
  </si>
  <si>
    <t>{jsdata.clocking[1012].clocking}</t>
  </si>
  <si>
    <t>{jsdata.clocking[1013].date}</t>
  </si>
  <si>
    <t>{jsdata.clocking[1013].clocking}</t>
  </si>
  <si>
    <t>{jsdata.clocking[1014].date}</t>
  </si>
  <si>
    <t>{jsdata.clocking[1014].clocking}</t>
  </si>
  <si>
    <t>{jsdata.clocking[1015].date}</t>
  </si>
  <si>
    <t>{jsdata.clocking[1015].clocking}</t>
  </si>
  <si>
    <t>{jsdata.clocking[1016].date}</t>
  </si>
  <si>
    <t>{jsdata.clocking[1016].clocking}</t>
  </si>
  <si>
    <t>{jsdata.clocking[1017].date}</t>
  </si>
  <si>
    <t>{jsdata.clocking[1017].clocking}</t>
  </si>
  <si>
    <t>{jsdata.clocking[1018].date}</t>
  </si>
  <si>
    <t>{jsdata.clocking[1018].clocking}</t>
  </si>
  <si>
    <t>{jsdata.clocking[1019].date}</t>
  </si>
  <si>
    <t>{jsdata.clocking[1019].clocking}</t>
  </si>
  <si>
    <t>{jsdata.clocking[1020].date}</t>
  </si>
  <si>
    <t>{jsdata.clocking[1020].clocking}</t>
  </si>
  <si>
    <t>{jsdata.clocking[1021].date}</t>
  </si>
  <si>
    <t>{jsdata.clocking[1021].clocking}</t>
  </si>
  <si>
    <t>{jsdata.clocking[1022].date}</t>
  </si>
  <si>
    <t>{jsdata.clocking[1022].clocking}</t>
  </si>
  <si>
    <t>{jsdata.clocking[1023].date}</t>
  </si>
  <si>
    <t>{jsdata.clocking[1023].clocking}</t>
  </si>
  <si>
    <t>{jsdata.clocking[1024].date}</t>
  </si>
  <si>
    <t>{jsdata.clocking[1024].clocking}</t>
  </si>
  <si>
    <t>{jsdata.clocking[1025].date}</t>
  </si>
  <si>
    <t>{jsdata.clocking[1025].clocking}</t>
  </si>
  <si>
    <t>{jsdata.clocking[1026].date}</t>
  </si>
  <si>
    <t>{jsdata.clocking[1026].clocking}</t>
  </si>
  <si>
    <t>{jsdata.clocking[1027].date}</t>
  </si>
  <si>
    <t>{jsdata.clocking[1027].clocking}</t>
  </si>
  <si>
    <t>{jsdata.clocking[1028].date}</t>
  </si>
  <si>
    <t>{jsdata.clocking[1028].clocking}</t>
  </si>
  <si>
    <t>{jsdata.clocking[1029].date}</t>
  </si>
  <si>
    <t>{jsdata.clocking[1029].clocking}</t>
  </si>
  <si>
    <t>{jsdata.clocking[1030].date}</t>
  </si>
  <si>
    <t>{jsdata.clocking[1030].clocking}</t>
  </si>
  <si>
    <t>{jsdata.clocking[1031].date}</t>
  </si>
  <si>
    <t>{jsdata.clocking[1031].clocking}</t>
  </si>
  <si>
    <t>{jsdata.clocking[1032].date}</t>
  </si>
  <si>
    <t>{jsdata.clocking[1032].clocking}</t>
  </si>
  <si>
    <t>{jsdata.clocking[1033].date}</t>
  </si>
  <si>
    <t>{jsdata.clocking[1033].clocking}</t>
  </si>
  <si>
    <t>{jsdata.clocking[1034].date}</t>
  </si>
  <si>
    <t>{jsdata.clocking[1034].clocking}</t>
  </si>
  <si>
    <t>{jsdata.clocking[1035].date}</t>
  </si>
  <si>
    <t>{jsdata.clocking[1035].clocking}</t>
  </si>
  <si>
    <t>{jsdata.clocking[1036].date}</t>
  </si>
  <si>
    <t>{jsdata.clocking[1036].clocking}</t>
  </si>
  <si>
    <t>{jsdata.clocking[1037].date}</t>
  </si>
  <si>
    <t>{jsdata.clocking[1037].clocking}</t>
  </si>
  <si>
    <t>{jsdata.clocking[1038].date}</t>
  </si>
  <si>
    <t>{jsdata.clocking[1038].clocking}</t>
  </si>
  <si>
    <t>{jsdata.clocking[1039].date}</t>
  </si>
  <si>
    <t>{jsdata.clocking[1039].clocking}</t>
  </si>
  <si>
    <t>{jsdata.clocking[1040].date}</t>
  </si>
  <si>
    <t>{jsdata.clocking[1040].clocking}</t>
  </si>
  <si>
    <t>{jsdata.clocking[1041].date}</t>
  </si>
  <si>
    <t>{jsdata.clocking[1041].clocking}</t>
  </si>
  <si>
    <t>{jsdata.clocking[1042].date}</t>
  </si>
  <si>
    <t>{jsdata.clocking[1042].clocking}</t>
  </si>
  <si>
    <t>{jsdata.clocking[1043].date}</t>
  </si>
  <si>
    <t>{jsdata.clocking[1043].clocking}</t>
  </si>
  <si>
    <t>{jsdata.clocking[1044].date}</t>
  </si>
  <si>
    <t>{jsdata.clocking[1044].clocking}</t>
  </si>
  <si>
    <t>{jsdata.clocking[1045].date}</t>
  </si>
  <si>
    <t>{jsdata.clocking[1045].clocking}</t>
  </si>
  <si>
    <t>{jsdata.clocking[1046].date}</t>
  </si>
  <si>
    <t>{jsdata.clocking[1046].clocking}</t>
  </si>
  <si>
    <t>{jsdata.clocking[1047].date}</t>
  </si>
  <si>
    <t>{jsdata.clocking[1047].clocking}</t>
  </si>
  <si>
    <t>{jsdata.clocking[1048].date}</t>
  </si>
  <si>
    <t>{jsdata.clocking[1048].clocking}</t>
  </si>
  <si>
    <t>{jsdata.clocking[1049].date}</t>
  </si>
  <si>
    <t>{jsdata.clocking[1049].clocking}</t>
  </si>
  <si>
    <t>{jsdata.clocking[1050].date}</t>
  </si>
  <si>
    <t>{jsdata.clocking[1050].clocking}</t>
  </si>
  <si>
    <t>{jsdata.clocking[1051].date}</t>
  </si>
  <si>
    <t>{jsdata.clocking[1051].clocking}</t>
  </si>
  <si>
    <t>{jsdata.clocking[1052].date}</t>
  </si>
  <si>
    <t>{jsdata.clocking[1052].clocking}</t>
  </si>
  <si>
    <t>{jsdata.clocking[1053].date}</t>
  </si>
  <si>
    <t>{jsdata.clocking[1053].clocking}</t>
  </si>
  <si>
    <t>{jsdata.clocking[1054].date}</t>
  </si>
  <si>
    <t>{jsdata.clocking[1054].clocking}</t>
  </si>
  <si>
    <t>{jsdata.clocking[1055].date}</t>
  </si>
  <si>
    <t>{jsdata.clocking[1055].clocking}</t>
  </si>
  <si>
    <t>{jsdata.clocking[1056].date}</t>
  </si>
  <si>
    <t>{jsdata.clocking[1056].clocking}</t>
  </si>
  <si>
    <t>{jsdata.clocking[1057].date}</t>
  </si>
  <si>
    <t>{jsdata.clocking[1057].clocking}</t>
  </si>
  <si>
    <t>{jsdata.clocking[1058].date}</t>
  </si>
  <si>
    <t>{jsdata.clocking[1058].clocking}</t>
  </si>
  <si>
    <t>{jsdata.clocking[1059].date}</t>
  </si>
  <si>
    <t>{jsdata.clocking[1059].clocking}</t>
  </si>
  <si>
    <t>{jsdata.clocking[1060].date}</t>
  </si>
  <si>
    <t>{jsdata.clocking[1060].clocking}</t>
  </si>
  <si>
    <t>{jsdata.clocking[1061].date}</t>
  </si>
  <si>
    <t>{jsdata.clocking[1061].clocking}</t>
  </si>
  <si>
    <t>{jsdata.clocking[1062].date}</t>
  </si>
  <si>
    <t>{jsdata.clocking[1062].clocking}</t>
  </si>
  <si>
    <t>{jsdata.clocking[1063].date}</t>
  </si>
  <si>
    <t>{jsdata.clocking[1063].clocking}</t>
  </si>
  <si>
    <t>{jsdata.clocking[1064].date}</t>
  </si>
  <si>
    <t>{jsdata.clocking[1064].clocking}</t>
  </si>
  <si>
    <t>{jsdata.clocking[1065].date}</t>
  </si>
  <si>
    <t>{jsdata.clocking[1065].clocking}</t>
  </si>
  <si>
    <t>{jsdata.clocking[1066].date}</t>
  </si>
  <si>
    <t>{jsdata.clocking[1066].clocking}</t>
  </si>
  <si>
    <t>{jsdata.clocking[1067].date}</t>
  </si>
  <si>
    <t>{jsdata.clocking[1067].clocking}</t>
  </si>
  <si>
    <t>{jsdata.clocking[1068].date}</t>
  </si>
  <si>
    <t>{jsdata.clocking[1068].clocking}</t>
  </si>
  <si>
    <t>{jsdata.clocking[1069].date}</t>
  </si>
  <si>
    <t>{jsdata.clocking[1069].clocking}</t>
  </si>
  <si>
    <t>{jsdata.clocking[1070].date}</t>
  </si>
  <si>
    <t>{jsdata.clocking[1070].clocking}</t>
  </si>
  <si>
    <t>{jsdata.clocking[1071].date}</t>
  </si>
  <si>
    <t>{jsdata.clocking[1071].clocking}</t>
  </si>
  <si>
    <t>{jsdata.clocking[1072].date}</t>
  </si>
  <si>
    <t>{jsdata.clocking[1072].clocking}</t>
  </si>
  <si>
    <t>{jsdata.clocking[1073].date}</t>
  </si>
  <si>
    <t>{jsdata.clocking[1073].clocking}</t>
  </si>
  <si>
    <t>{jsdata.clocking[1074].date}</t>
  </si>
  <si>
    <t>{jsdata.clocking[1074].clocking}</t>
  </si>
  <si>
    <t>{jsdata.clocking[1075].date}</t>
  </si>
  <si>
    <t>{jsdata.clocking[1075].clocking}</t>
  </si>
  <si>
    <t>{jsdata.clocking[1076].date}</t>
  </si>
  <si>
    <t>{jsdata.clocking[1076].clocking}</t>
  </si>
  <si>
    <t>{jsdata.clocking[1077].date}</t>
  </si>
  <si>
    <t>{jsdata.clocking[1077].clocking}</t>
  </si>
  <si>
    <t>{jsdata.clocking[1078].date}</t>
  </si>
  <si>
    <t>{jsdata.clocking[1078].clocking}</t>
  </si>
  <si>
    <t>{jsdata.clocking[1079].date}</t>
  </si>
  <si>
    <t>{jsdata.clocking[1079].clocking}</t>
  </si>
  <si>
    <t>{jsdata.clocking[1080].date}</t>
  </si>
  <si>
    <t>{jsdata.clocking[1080].clocking}</t>
  </si>
  <si>
    <t>{jsdata.clocking[1081].date}</t>
  </si>
  <si>
    <t>{jsdata.clocking[1081].clocking}</t>
  </si>
  <si>
    <t>{jsdata.clocking[1082].date}</t>
  </si>
  <si>
    <t>{jsdata.clocking[1082].clocking}</t>
  </si>
  <si>
    <t>{jsdata.clocking[1083].date}</t>
  </si>
  <si>
    <t>{jsdata.clocking[1083].clocking}</t>
  </si>
  <si>
    <t>{jsdata.clocking[1084].date}</t>
  </si>
  <si>
    <t>{jsdata.clocking[1084].clocking}</t>
  </si>
  <si>
    <t>{jsdata.clocking[1085].date}</t>
  </si>
  <si>
    <t>{jsdata.clocking[1085].clocking}</t>
  </si>
  <si>
    <t>{jsdata.clocking[1086].date}</t>
  </si>
  <si>
    <t>{jsdata.clocking[1086].clocking}</t>
  </si>
  <si>
    <t>{jsdata.clocking[1087].date}</t>
  </si>
  <si>
    <t>{jsdata.clocking[1087].clocking}</t>
  </si>
  <si>
    <t>{jsdata.clocking[1088].date}</t>
  </si>
  <si>
    <t>{jsdata.clocking[1088].clocking}</t>
  </si>
  <si>
    <t>{jsdata.clocking[1089].date}</t>
  </si>
  <si>
    <t>{jsdata.clocking[1089].clocking}</t>
  </si>
  <si>
    <t>{jsdata.clocking[1090].date}</t>
  </si>
  <si>
    <t>{jsdata.clocking[1090].clocking}</t>
  </si>
  <si>
    <t>{jsdata.clocking[1091].date}</t>
  </si>
  <si>
    <t>{jsdata.clocking[1091].clocking}</t>
  </si>
  <si>
    <t>{jsdata.clocking[1092].date}</t>
  </si>
  <si>
    <t>{jsdata.clocking[1092].clocking}</t>
  </si>
  <si>
    <t>{jsdata.clocking[1093].date}</t>
  </si>
  <si>
    <t>{jsdata.clocking[1093].clocking}</t>
  </si>
  <si>
    <t>{jsdata.clocking[1094].date}</t>
  </si>
  <si>
    <t>{jsdata.clocking[1094].clocking}</t>
  </si>
  <si>
    <t>{jsdata.clocking[1095].date}</t>
  </si>
  <si>
    <t>{jsdata.clocking[1095].clocking}</t>
  </si>
  <si>
    <t>Clocking</t>
  </si>
  <si>
    <t/>
  </si>
  <si>
    <t>Monat</t>
  </si>
  <si>
    <t>Σ</t>
  </si>
  <si>
    <t>+/-</t>
  </si>
  <si>
    <t>Employee</t>
  </si>
  <si>
    <t>Month</t>
  </si>
  <si>
    <t>Month Overview</t>
  </si>
  <si>
    <t>Target</t>
  </si>
  <si>
    <t>Actual</t>
  </si>
  <si>
    <t>Absence</t>
  </si>
  <si>
    <t>Flexitime +/-</t>
  </si>
  <si>
    <t>Balances</t>
  </si>
  <si>
    <t>Balance</t>
  </si>
  <si>
    <t>Transf.</t>
  </si>
  <si>
    <t>New</t>
  </si>
  <si>
    <t>Flexitime</t>
  </si>
  <si>
    <t>1 Day =</t>
  </si>
  <si>
    <t>{jsdata.day[0].absences[0].absenceType}</t>
  </si>
  <si>
    <t>{jsdata.day[0].absences[1].absenceType}</t>
  </si>
  <si>
    <t>{jsdata.day[1].absences[0].absenceType}</t>
  </si>
  <si>
    <t>{jsdata.day[1].absences[1].absenceType}</t>
  </si>
  <si>
    <t>{jsdata.day[2].absences[0].absenceType}</t>
  </si>
  <si>
    <t>{jsdata.day[2].absences[1].absenceType}</t>
  </si>
  <si>
    <t>{jsdata.day[3].absences[0].absenceType}</t>
  </si>
  <si>
    <t>{jsdata.day[3].absences[1].absenceType}</t>
  </si>
  <si>
    <t>{jsdata.day[4].absences[0].absenceType}</t>
  </si>
  <si>
    <t>{jsdata.day[4].absences[1].absenceType}</t>
  </si>
  <si>
    <t>{jsdata.day[5].absences[0].absenceType}</t>
  </si>
  <si>
    <t>{jsdata.day[5].absences[1].absenceType}</t>
  </si>
  <si>
    <t>{jsdata.day[6].absences[0].absenceType}</t>
  </si>
  <si>
    <t>{jsdata.day[6].absences[1].absenceType}</t>
  </si>
  <si>
    <t>{jsdata.day[7].absences[0].absenceType}</t>
  </si>
  <si>
    <t>{jsdata.day[7].absences[1].absenceType}</t>
  </si>
  <si>
    <t>{jsdata.day[8].absences[0].absenceType}</t>
  </si>
  <si>
    <t>{jsdata.day[8].absences[1].absenceType}</t>
  </si>
  <si>
    <t>{jsdata.day[9].absences[0].absenceType}</t>
  </si>
  <si>
    <t>{jsdata.day[9].absences[1].absenceType}</t>
  </si>
  <si>
    <t>{jsdata.day[10].absences[0].absenceType}</t>
  </si>
  <si>
    <t>{jsdata.day[10].absences[1].absenceType}</t>
  </si>
  <si>
    <t>{jsdata.day[11].absences[0].absenceType}</t>
  </si>
  <si>
    <t>{jsdata.day[11].absences[1].absenceType}</t>
  </si>
  <si>
    <t>{jsdata.day[12].absences[0].absenceType}</t>
  </si>
  <si>
    <t>{jsdata.day[12].absences[1].absenceType}</t>
  </si>
  <si>
    <t>{jsdata.day[13].absences[0].absenceType}</t>
  </si>
  <si>
    <t>{jsdata.day[13].absences[1].absenceType}</t>
  </si>
  <si>
    <t>{jsdata.day[14].absences[0].absenceType}</t>
  </si>
  <si>
    <t>{jsdata.day[14].absences[1].absenceType}</t>
  </si>
  <si>
    <t>{jsdata.day[15].absences[0].absenceType}</t>
  </si>
  <si>
    <t>{jsdata.day[15].absences[1].absenceType}</t>
  </si>
  <si>
    <t>{jsdata.day[16].absences[0].absenceType}</t>
  </si>
  <si>
    <t>{jsdata.day[16].absences[1].absenceType}</t>
  </si>
  <si>
    <t>{jsdata.day[17].absences[0].absenceType}</t>
  </si>
  <si>
    <t>{jsdata.day[17].absences[1].absenceType}</t>
  </si>
  <si>
    <t>{jsdata.day[18].absences[0].absenceType}</t>
  </si>
  <si>
    <t>{jsdata.day[18].absences[1].absenceType}</t>
  </si>
  <si>
    <t>{jsdata.day[19].absences[0].absenceType}</t>
  </si>
  <si>
    <t>{jsdata.day[19].absences[1].absenceType}</t>
  </si>
  <si>
    <t>{jsdata.day[20].absences[0].absenceType}</t>
  </si>
  <si>
    <t>{jsdata.day[20].absences[1].absenceType}</t>
  </si>
  <si>
    <t>{jsdata.day[21].absences[0].absenceType}</t>
  </si>
  <si>
    <t>{jsdata.day[21].absences[1].absenceType}</t>
  </si>
  <si>
    <t>{jsdata.day[22].absences[0].absenceType}</t>
  </si>
  <si>
    <t>{jsdata.day[22].absences[1].absenceType}</t>
  </si>
  <si>
    <t>{jsdata.day[23].absences[0].absenceType}</t>
  </si>
  <si>
    <t>{jsdata.day[23].absences[1].absenceType}</t>
  </si>
  <si>
    <t>{jsdata.day[24].absences[0].absenceType}</t>
  </si>
  <si>
    <t>{jsdata.day[24].absences[1].absenceType}</t>
  </si>
  <si>
    <t>{jsdata.day[25].absences[0].absenceType}</t>
  </si>
  <si>
    <t>{jsdata.day[25].absences[1].absenceType}</t>
  </si>
  <si>
    <t>{jsdata.day[26].absences[0].absenceType}</t>
  </si>
  <si>
    <t>{jsdata.day[26].absences[1].absenceType}</t>
  </si>
  <si>
    <t>{jsdata.day[27].absences[0].absenceType}</t>
  </si>
  <si>
    <t>{jsdata.day[27].absences[1].absenceType}</t>
  </si>
  <si>
    <t>{jsdata.day[28].absences[0].absenceType}</t>
  </si>
  <si>
    <t>{jsdata.day[28].absences[1].absenceType}</t>
  </si>
  <si>
    <t>{jsdata.day[29].absences[0].absenceType}</t>
  </si>
  <si>
    <t>{jsdata.day[29].absences[1].absenceType}</t>
  </si>
  <si>
    <t>{jsdata.day[30].absences[0].absenceType}</t>
  </si>
  <si>
    <t>{jsdata.day[30].absences[1].absenceType}</t>
  </si>
  <si>
    <t>{jsdata.day[31].absences[0].absenceType}</t>
  </si>
  <si>
    <t>{jsdata.day[31].absences[1].absenceType}</t>
  </si>
  <si>
    <t>{jsdata.day[32].absences[0].absenceType}</t>
  </si>
  <si>
    <t>{jsdata.day[32].absences[1].absenceType}</t>
  </si>
  <si>
    <t>{jsdata.day[33].absences[0].absenceType}</t>
  </si>
  <si>
    <t>{jsdata.day[33].absences[1].absenceType}</t>
  </si>
  <si>
    <t>{jsdata.day[34].absences[0].absenceType}</t>
  </si>
  <si>
    <t>{jsdata.day[34].absences[1].absenceType}</t>
  </si>
  <si>
    <t>{jsdata.day[35].absences[0].absenceType}</t>
  </si>
  <si>
    <t>{jsdata.day[35].absences[1].absenceType}</t>
  </si>
  <si>
    <t>{jsdata.day[36].absences[0].absenceType}</t>
  </si>
  <si>
    <t>{jsdata.day[36].absences[1].absenceType}</t>
  </si>
  <si>
    <t>{jsdata.day[37].absences[0].absenceType}</t>
  </si>
  <si>
    <t>{jsdata.day[37].absences[1].absenceType}</t>
  </si>
  <si>
    <t>{jsdata.day[38].absences[0].absenceType}</t>
  </si>
  <si>
    <t>{jsdata.day[38].absences[1].absenceType}</t>
  </si>
  <si>
    <t>{jsdata.day[39].absences[0].absenceType}</t>
  </si>
  <si>
    <t>{jsdata.day[39].absences[1].absenceType}</t>
  </si>
  <si>
    <t>{jsdata.day[40].absences[0].absenceType}</t>
  </si>
  <si>
    <t>{jsdata.day[40].absences[1].absenceType}</t>
  </si>
  <si>
    <t>{jsdata.day[41].absences[0].absenceType}</t>
  </si>
  <si>
    <t>{jsdata.day[41].absences[1].absenceType}</t>
  </si>
  <si>
    <t>{jsdata.day[42].absences[0].absenceType}</t>
  </si>
  <si>
    <t>{jsdata.day[42].absences[1].absenceType}</t>
  </si>
  <si>
    <t>{jsdata.day[43].absences[0].absenceType}</t>
  </si>
  <si>
    <t>{jsdata.day[43].absences[1].absenceType}</t>
  </si>
  <si>
    <t>{jsdata.day[44].absences[0].absenceType}</t>
  </si>
  <si>
    <t>{jsdata.day[44].absences[1].absenceType}</t>
  </si>
  <si>
    <t>{jsdata.day[45].absences[0].absenceType}</t>
  </si>
  <si>
    <t>{jsdata.day[45].absences[1].absenceType}</t>
  </si>
  <si>
    <t>{jsdata.day[46].absences[0].absenceType}</t>
  </si>
  <si>
    <t>{jsdata.day[46].absences[1].absenceType}</t>
  </si>
  <si>
    <t>{jsdata.day[47].absences[0].absenceType}</t>
  </si>
  <si>
    <t>{jsdata.day[47].absences[1].absenceType}</t>
  </si>
  <si>
    <t>{jsdata.day[48].absences[0].absenceType}</t>
  </si>
  <si>
    <t>{jsdata.day[48].absences[1].absenceType}</t>
  </si>
  <si>
    <t>{jsdata.day[49].absences[0].absenceType}</t>
  </si>
  <si>
    <t>{jsdata.day[49].absences[1].absenceType}</t>
  </si>
  <si>
    <t>{jsdata.day[50].absences[0].absenceType}</t>
  </si>
  <si>
    <t>{jsdata.day[50].absences[1].absenceType}</t>
  </si>
  <si>
    <t>{jsdata.day[51].absences[0].absenceType}</t>
  </si>
  <si>
    <t>{jsdata.day[51].absences[1].absenceType}</t>
  </si>
  <si>
    <t>{jsdata.day[52].absences[0].absenceType}</t>
  </si>
  <si>
    <t>{jsdata.day[52].absences[1].absenceType}</t>
  </si>
  <si>
    <t>{jsdata.day[53].absences[0].absenceType}</t>
  </si>
  <si>
    <t>{jsdata.day[53].absences[1].absenceType}</t>
  </si>
  <si>
    <t>{jsdata.day[54].absences[0].absenceType}</t>
  </si>
  <si>
    <t>{jsdata.day[54].absences[1].absenceType}</t>
  </si>
  <si>
    <t>{jsdata.day[55].absences[0].absenceType}</t>
  </si>
  <si>
    <t>{jsdata.day[55].absences[1].absenceType}</t>
  </si>
  <si>
    <t>{jsdata.day[56].absences[0].absenceType}</t>
  </si>
  <si>
    <t>{jsdata.day[56].absences[1].absenceType}</t>
  </si>
  <si>
    <t>{jsdata.day[57].absences[0].absenceType}</t>
  </si>
  <si>
    <t>{jsdata.day[57].absences[1].absenceType}</t>
  </si>
  <si>
    <t>{jsdata.day[58].absences[0].absenceType}</t>
  </si>
  <si>
    <t>{jsdata.day[58].absences[1].absenceType}</t>
  </si>
  <si>
    <t>{jsdata.day[59].absences[0].absenceType}</t>
  </si>
  <si>
    <t>{jsdata.day[59].absences[1].absenceType}</t>
  </si>
  <si>
    <t>{jsdata.day[60].absences[0].absenceType}</t>
  </si>
  <si>
    <t>{jsdata.day[60].absences[1].absenceType}</t>
  </si>
  <si>
    <t>{jsdata.day[61].absences[0].absenceType}</t>
  </si>
  <si>
    <t>{jsdata.day[61].absences[1].absenceType}</t>
  </si>
  <si>
    <t>{jsdata.day[62].absences[0].absenceType}</t>
  </si>
  <si>
    <t>{jsdata.day[62].absences[1].absenceType}</t>
  </si>
  <si>
    <t>{jsdata.day[63].absences[0].absenceType}</t>
  </si>
  <si>
    <t>{jsdata.day[63].absences[1].absenceType}</t>
  </si>
  <si>
    <t>{jsdata.day[64].absences[0].absenceType}</t>
  </si>
  <si>
    <t>{jsdata.day[64].absences[1].absenceType}</t>
  </si>
  <si>
    <t>{jsdata.day[65].absences[0].absenceType}</t>
  </si>
  <si>
    <t>{jsdata.day[65].absences[1].absenceType}</t>
  </si>
  <si>
    <t>{jsdata.day[66].absences[0].absenceType}</t>
  </si>
  <si>
    <t>{jsdata.day[66].absences[1].absenceType}</t>
  </si>
  <si>
    <t>{jsdata.day[67].absences[0].absenceType}</t>
  </si>
  <si>
    <t>{jsdata.day[67].absences[1].absenceType}</t>
  </si>
  <si>
    <t>{jsdata.day[68].absences[0].absenceType}</t>
  </si>
  <si>
    <t>{jsdata.day[68].absences[1].absenceType}</t>
  </si>
  <si>
    <t>{jsdata.day[69].absences[0].absenceType}</t>
  </si>
  <si>
    <t>{jsdata.day[69].absences[1].absenceType}</t>
  </si>
  <si>
    <t>{jsdata.day[70].absences[0].absenceType}</t>
  </si>
  <si>
    <t>{jsdata.day[70].absences[1].absenceType}</t>
  </si>
  <si>
    <t>{jsdata.day[71].absences[0].absenceType}</t>
  </si>
  <si>
    <t>{jsdata.day[71].absences[1].absenceType}</t>
  </si>
  <si>
    <t>{jsdata.day[72].absences[0].absenceType}</t>
  </si>
  <si>
    <t>{jsdata.day[72].absences[1].absenceType}</t>
  </si>
  <si>
    <t>{jsdata.day[73].absences[0].absenceType}</t>
  </si>
  <si>
    <t>{jsdata.day[73].absences[1].absenceType}</t>
  </si>
  <si>
    <t>{jsdata.day[74].absences[0].absenceType}</t>
  </si>
  <si>
    <t>{jsdata.day[74].absences[1].absenceType}</t>
  </si>
  <si>
    <t>{jsdata.day[75].absences[0].absenceType}</t>
  </si>
  <si>
    <t>{jsdata.day[75].absences[1].absenceType}</t>
  </si>
  <si>
    <t>{jsdata.day[76].absences[0].absenceType}</t>
  </si>
  <si>
    <t>{jsdata.day[76].absences[1].absenceType}</t>
  </si>
  <si>
    <t>{jsdata.day[77].absences[0].absenceType}</t>
  </si>
  <si>
    <t>{jsdata.day[77].absences[1].absenceType}</t>
  </si>
  <si>
    <t>{jsdata.day[78].absences[0].absenceType}</t>
  </si>
  <si>
    <t>{jsdata.day[78].absences[1].absenceType}</t>
  </si>
  <si>
    <t>{jsdata.day[79].absences[0].absenceType}</t>
  </si>
  <si>
    <t>{jsdata.day[79].absences[1].absenceType}</t>
  </si>
  <si>
    <t>{jsdata.day[80].absences[0].absenceType}</t>
  </si>
  <si>
    <t>{jsdata.day[80].absences[1].absenceType}</t>
  </si>
  <si>
    <t>{jsdata.day[81].absences[0].absenceType}</t>
  </si>
  <si>
    <t>{jsdata.day[81].absences[1].absenceType}</t>
  </si>
  <si>
    <t>{jsdata.day[82].absences[0].absenceType}</t>
  </si>
  <si>
    <t>{jsdata.day[82].absences[1].absenceType}</t>
  </si>
  <si>
    <t>{jsdata.day[83].absences[0].absenceType}</t>
  </si>
  <si>
    <t>{jsdata.day[83].absences[1].absenceType}</t>
  </si>
  <si>
    <t>{jsdata.day[84].absences[0].absenceType}</t>
  </si>
  <si>
    <t>{jsdata.day[84].absences[1].absenceType}</t>
  </si>
  <si>
    <t>{jsdata.day[85].absences[0].absenceType}</t>
  </si>
  <si>
    <t>{jsdata.day[85].absences[1].absenceType}</t>
  </si>
  <si>
    <t>{jsdata.day[86].absences[0].absenceType}</t>
  </si>
  <si>
    <t>{jsdata.day[86].absences[1].absenceType}</t>
  </si>
  <si>
    <t>{jsdata.day[87].absences[0].absenceType}</t>
  </si>
  <si>
    <t>{jsdata.day[87].absences[1].absenceType}</t>
  </si>
  <si>
    <t>{jsdata.day[88].absences[0].absenceType}</t>
  </si>
  <si>
    <t>{jsdata.day[88].absences[1].absenceType}</t>
  </si>
  <si>
    <t>{jsdata.day[89].absences[0].absenceType}</t>
  </si>
  <si>
    <t>{jsdata.day[89].absences[1].absenceType}</t>
  </si>
  <si>
    <t>{jsdata.day[90].absences[0].absenceType}</t>
  </si>
  <si>
    <t>{jsdata.day[90].absences[1].absenceType}</t>
  </si>
  <si>
    <t>{jsdata.day[91].absences[0].absenceType}</t>
  </si>
  <si>
    <t>{jsdata.day[91].absences[1].absenceType}</t>
  </si>
  <si>
    <t>{jsdata.day[92].absences[0].absenceType}</t>
  </si>
  <si>
    <t>{jsdata.day[92].absences[1].absenceType}</t>
  </si>
  <si>
    <t>{jsdata.day[93].absences[0].absenceType}</t>
  </si>
  <si>
    <t>{jsdata.day[93].absences[1].absenceType}</t>
  </si>
  <si>
    <t>{jsdata.day[94].absences[0].absenceType}</t>
  </si>
  <si>
    <t>{jsdata.day[94].absences[1].absenceType}</t>
  </si>
  <si>
    <t>{jsdata.day[95].absences[0].absenceType}</t>
  </si>
  <si>
    <t>{jsdata.day[95].absences[1].absenceType}</t>
  </si>
  <si>
    <t>{jsdata.day[96].absences[0].absenceType}</t>
  </si>
  <si>
    <t>{jsdata.day[96].absences[1].absenceType}</t>
  </si>
  <si>
    <t>{jsdata.day[97].absences[0].absenceType}</t>
  </si>
  <si>
    <t>{jsdata.day[97].absences[1].absenceType}</t>
  </si>
  <si>
    <t>{jsdata.day[98].absences[0].absenceType}</t>
  </si>
  <si>
    <t>{jsdata.day[98].absences[1].absenceType}</t>
  </si>
  <si>
    <t>{jsdata.day[99].absences[0].absenceType}</t>
  </si>
  <si>
    <t>{jsdata.day[99].absences[1].absenceType}</t>
  </si>
  <si>
    <t>{jsdata.day[100].absences[0].absenceType}</t>
  </si>
  <si>
    <t>{jsdata.day[100].absences[1].absenceType}</t>
  </si>
  <si>
    <t>{jsdata.day[101].absences[0].absenceType}</t>
  </si>
  <si>
    <t>{jsdata.day[101].absences[1].absenceType}</t>
  </si>
  <si>
    <t>{jsdata.day[102].absences[0].absenceType}</t>
  </si>
  <si>
    <t>{jsdata.day[102].absences[1].absenceType}</t>
  </si>
  <si>
    <t>{jsdata.day[103].absences[0].absenceType}</t>
  </si>
  <si>
    <t>{jsdata.day[103].absences[1].absenceType}</t>
  </si>
  <si>
    <t>{jsdata.day[104].absences[0].absenceType}</t>
  </si>
  <si>
    <t>{jsdata.day[104].absences[1].absenceType}</t>
  </si>
  <si>
    <t>{jsdata.day[105].absences[0].absenceType}</t>
  </si>
  <si>
    <t>{jsdata.day[105].absences[1].absenceType}</t>
  </si>
  <si>
    <t>{jsdata.day[106].absences[0].absenceType}</t>
  </si>
  <si>
    <t>{jsdata.day[106].absences[1].absenceType}</t>
  </si>
  <si>
    <t>{jsdata.day[107].absences[0].absenceType}</t>
  </si>
  <si>
    <t>{jsdata.day[107].absences[1].absenceType}</t>
  </si>
  <si>
    <t>{jsdata.day[108].absences[0].absenceType}</t>
  </si>
  <si>
    <t>{jsdata.day[108].absences[1].absenceType}</t>
  </si>
  <si>
    <t>{jsdata.day[109].absences[0].absenceType}</t>
  </si>
  <si>
    <t>{jsdata.day[109].absences[1].absenceType}</t>
  </si>
  <si>
    <t>{jsdata.day[110].absences[0].absenceType}</t>
  </si>
  <si>
    <t>{jsdata.day[110].absences[1].absenceType}</t>
  </si>
  <si>
    <t>{jsdata.day[111].absences[0].absenceType}</t>
  </si>
  <si>
    <t>{jsdata.day[111].absences[1].absenceType}</t>
  </si>
  <si>
    <t>{jsdata.day[112].absences[0].absenceType}</t>
  </si>
  <si>
    <t>{jsdata.day[112].absences[1].absenceType}</t>
  </si>
  <si>
    <t>{jsdata.day[113].absences[0].absenceType}</t>
  </si>
  <si>
    <t>{jsdata.day[113].absences[1].absenceType}</t>
  </si>
  <si>
    <t>{jsdata.day[114].absences[0].absenceType}</t>
  </si>
  <si>
    <t>{jsdata.day[114].absences[1].absenceType}</t>
  </si>
  <si>
    <t>{jsdata.day[115].absences[0].absenceType}</t>
  </si>
  <si>
    <t>{jsdata.day[115].absences[1].absenceType}</t>
  </si>
  <si>
    <t>{jsdata.day[116].absences[0].absenceType}</t>
  </si>
  <si>
    <t>{jsdata.day[116].absences[1].absenceType}</t>
  </si>
  <si>
    <t>{jsdata.day[117].absences[0].absenceType}</t>
  </si>
  <si>
    <t>{jsdata.day[117].absences[1].absenceType}</t>
  </si>
  <si>
    <t>{jsdata.day[118].absences[0].absenceType}</t>
  </si>
  <si>
    <t>{jsdata.day[118].absences[1].absenceType}</t>
  </si>
  <si>
    <t>{jsdata.day[119].absences[0].absenceType}</t>
  </si>
  <si>
    <t>{jsdata.day[119].absences[1].absenceType}</t>
  </si>
  <si>
    <t>{jsdata.day[120].absences[0].absenceType}</t>
  </si>
  <si>
    <t>{jsdata.day[120].absences[1].absenceType}</t>
  </si>
  <si>
    <t>{jsdata.day[121].absences[0].absenceType}</t>
  </si>
  <si>
    <t>{jsdata.day[121].absences[1].absenceType}</t>
  </si>
  <si>
    <t>{jsdata.day[122].absences[0].absenceType}</t>
  </si>
  <si>
    <t>{jsdata.day[122].absences[1].absenceType}</t>
  </si>
  <si>
    <t>{jsdata.day[123].absences[0].absenceType}</t>
  </si>
  <si>
    <t>{jsdata.day[123].absences[1].absenceType}</t>
  </si>
  <si>
    <t>{jsdata.day[124].absences[0].absenceType}</t>
  </si>
  <si>
    <t>{jsdata.day[124].absences[1].absenceType}</t>
  </si>
  <si>
    <t>{jsdata.day[125].absences[0].absenceType}</t>
  </si>
  <si>
    <t>{jsdata.day[125].absences[1].absenceType}</t>
  </si>
  <si>
    <t>{jsdata.day[126].absences[0].absenceType}</t>
  </si>
  <si>
    <t>{jsdata.day[126].absences[1].absenceType}</t>
  </si>
  <si>
    <t>{jsdata.day[127].absences[0].absenceType}</t>
  </si>
  <si>
    <t>{jsdata.day[127].absences[1].absenceType}</t>
  </si>
  <si>
    <t>{jsdata.day[128].absences[0].absenceType}</t>
  </si>
  <si>
    <t>{jsdata.day[128].absences[1].absenceType}</t>
  </si>
  <si>
    <t>{jsdata.day[129].absences[0].absenceType}</t>
  </si>
  <si>
    <t>{jsdata.day[129].absences[1].absenceType}</t>
  </si>
  <si>
    <t>{jsdata.day[130].absences[0].absenceType}</t>
  </si>
  <si>
    <t>{jsdata.day[130].absences[1].absenceType}</t>
  </si>
  <si>
    <t>{jsdata.day[131].absences[0].absenceType}</t>
  </si>
  <si>
    <t>{jsdata.day[131].absences[1].absenceType}</t>
  </si>
  <si>
    <t>{jsdata.day[132].absences[0].absenceType}</t>
  </si>
  <si>
    <t>{jsdata.day[132].absences[1].absenceType}</t>
  </si>
  <si>
    <t>{jsdata.day[133].absences[0].absenceType}</t>
  </si>
  <si>
    <t>{jsdata.day[133].absences[1].absenceType}</t>
  </si>
  <si>
    <t>{jsdata.day[134].absences[0].absenceType}</t>
  </si>
  <si>
    <t>{jsdata.day[134].absences[1].absenceType}</t>
  </si>
  <si>
    <t>{jsdata.day[135].absences[0].absenceType}</t>
  </si>
  <si>
    <t>{jsdata.day[135].absences[1].absenceType}</t>
  </si>
  <si>
    <t>{jsdata.day[136].absences[0].absenceType}</t>
  </si>
  <si>
    <t>{jsdata.day[136].absences[1].absenceType}</t>
  </si>
  <si>
    <t>{jsdata.day[137].absences[0].absenceType}</t>
  </si>
  <si>
    <t>{jsdata.day[137].absences[1].absenceType}</t>
  </si>
  <si>
    <t>{jsdata.day[138].absences[0].absenceType}</t>
  </si>
  <si>
    <t>{jsdata.day[138].absences[1].absenceType}</t>
  </si>
  <si>
    <t>{jsdata.day[139].absences[0].absenceType}</t>
  </si>
  <si>
    <t>{jsdata.day[139].absences[1].absenceType}</t>
  </si>
  <si>
    <t>{jsdata.day[140].absences[0].absenceType}</t>
  </si>
  <si>
    <t>{jsdata.day[140].absences[1].absenceType}</t>
  </si>
  <si>
    <t>{jsdata.day[141].absences[0].absenceType}</t>
  </si>
  <si>
    <t>{jsdata.day[141].absences[1].absenceType}</t>
  </si>
  <si>
    <t>{jsdata.day[142].absences[0].absenceType}</t>
  </si>
  <si>
    <t>{jsdata.day[142].absences[1].absenceType}</t>
  </si>
  <si>
    <t>{jsdata.day[143].absences[0].absenceType}</t>
  </si>
  <si>
    <t>{jsdata.day[143].absences[1].absenceType}</t>
  </si>
  <si>
    <t>{jsdata.day[144].absences[0].absenceType}</t>
  </si>
  <si>
    <t>{jsdata.day[144].absences[1].absenceType}</t>
  </si>
  <si>
    <t>{jsdata.day[145].absences[0].absenceType}</t>
  </si>
  <si>
    <t>{jsdata.day[145].absences[1].absenceType}</t>
  </si>
  <si>
    <t>{jsdata.day[146].absences[0].absenceType}</t>
  </si>
  <si>
    <t>{jsdata.day[146].absences[1].absenceType}</t>
  </si>
  <si>
    <t>{jsdata.day[147].absences[0].absenceType}</t>
  </si>
  <si>
    <t>{jsdata.day[147].absences[1].absenceType}</t>
  </si>
  <si>
    <t>{jsdata.day[148].absences[0].absenceType}</t>
  </si>
  <si>
    <t>{jsdata.day[148].absences[1].absenceType}</t>
  </si>
  <si>
    <t>{jsdata.day[149].absences[0].absenceType}</t>
  </si>
  <si>
    <t>{jsdata.day[149].absences[1].absenceType}</t>
  </si>
  <si>
    <t>{jsdata.day[150].absences[0].absenceType}</t>
  </si>
  <si>
    <t>{jsdata.day[150].absences[1].absenceType}</t>
  </si>
  <si>
    <t>{jsdata.day[151].absences[0].absenceType}</t>
  </si>
  <si>
    <t>{jsdata.day[151].absences[1].absenceType}</t>
  </si>
  <si>
    <t>{jsdata.day[152].absences[0].absenceType}</t>
  </si>
  <si>
    <t>{jsdata.day[152].absences[1].absenceType}</t>
  </si>
  <si>
    <t>{jsdata.day[153].absences[0].absenceType}</t>
  </si>
  <si>
    <t>{jsdata.day[153].absences[1].absenceType}</t>
  </si>
  <si>
    <t>{jsdata.day[154].absences[0].absenceType}</t>
  </si>
  <si>
    <t>{jsdata.day[154].absences[1].absenceType}</t>
  </si>
  <si>
    <t>{jsdata.day[155].absences[0].absenceType}</t>
  </si>
  <si>
    <t>{jsdata.day[155].absences[1].absenceType}</t>
  </si>
  <si>
    <t>{jsdata.day[156].absences[0].absenceType}</t>
  </si>
  <si>
    <t>{jsdata.day[156].absences[1].absenceType}</t>
  </si>
  <si>
    <t>{jsdata.day[157].absences[0].absenceType}</t>
  </si>
  <si>
    <t>{jsdata.day[157].absences[1].absenceType}</t>
  </si>
  <si>
    <t>{jsdata.day[158].absences[0].absenceType}</t>
  </si>
  <si>
    <t>{jsdata.day[158].absences[1].absenceType}</t>
  </si>
  <si>
    <t>{jsdata.day[159].absences[0].absenceType}</t>
  </si>
  <si>
    <t>{jsdata.day[159].absences[1].absenceType}</t>
  </si>
  <si>
    <t>{jsdata.day[160].absences[0].absenceType}</t>
  </si>
  <si>
    <t>{jsdata.day[160].absences[1].absenceType}</t>
  </si>
  <si>
    <t>{jsdata.day[161].absences[0].absenceType}</t>
  </si>
  <si>
    <t>{jsdata.day[161].absences[1].absenceType}</t>
  </si>
  <si>
    <t>{jsdata.day[162].absences[0].absenceType}</t>
  </si>
  <si>
    <t>{jsdata.day[162].absences[1].absenceType}</t>
  </si>
  <si>
    <t>{jsdata.day[163].absences[0].absenceType}</t>
  </si>
  <si>
    <t>{jsdata.day[163].absences[1].absenceType}</t>
  </si>
  <si>
    <t>{jsdata.day[164].absences[0].absenceType}</t>
  </si>
  <si>
    <t>{jsdata.day[164].absences[1].absenceType}</t>
  </si>
  <si>
    <t>{jsdata.day[165].absences[0].absenceType}</t>
  </si>
  <si>
    <t>{jsdata.day[165].absences[1].absenceType}</t>
  </si>
  <si>
    <t>{jsdata.day[166].absences[0].absenceType}</t>
  </si>
  <si>
    <t>{jsdata.day[166].absences[1].absenceType}</t>
  </si>
  <si>
    <t>{jsdata.day[167].absences[0].absenceType}</t>
  </si>
  <si>
    <t>{jsdata.day[167].absences[1].absenceType}</t>
  </si>
  <si>
    <t>{jsdata.day[168].absences[0].absenceType}</t>
  </si>
  <si>
    <t>{jsdata.day[168].absences[1].absenceType}</t>
  </si>
  <si>
    <t>{jsdata.day[169].absences[0].absenceType}</t>
  </si>
  <si>
    <t>{jsdata.day[169].absences[1].absenceType}</t>
  </si>
  <si>
    <t>{jsdata.day[170].absences[0].absenceType}</t>
  </si>
  <si>
    <t>{jsdata.day[170].absences[1].absenceType}</t>
  </si>
  <si>
    <t>{jsdata.day[171].absences[0].absenceType}</t>
  </si>
  <si>
    <t>{jsdata.day[171].absences[1].absenceType}</t>
  </si>
  <si>
    <t>{jsdata.day[172].absences[0].absenceType}</t>
  </si>
  <si>
    <t>{jsdata.day[172].absences[1].absenceType}</t>
  </si>
  <si>
    <t>{jsdata.day[173].absences[0].absenceType}</t>
  </si>
  <si>
    <t>{jsdata.day[173].absences[1].absenceType}</t>
  </si>
  <si>
    <t>{jsdata.day[174].absences[0].absenceType}</t>
  </si>
  <si>
    <t>{jsdata.day[174].absences[1].absenceType}</t>
  </si>
  <si>
    <t>{jsdata.day[175].absences[0].absenceType}</t>
  </si>
  <si>
    <t>{jsdata.day[175].absences[1].absenceType}</t>
  </si>
  <si>
    <t>{jsdata.day[176].absences[0].absenceType}</t>
  </si>
  <si>
    <t>{jsdata.day[176].absences[1].absenceType}</t>
  </si>
  <si>
    <t>{jsdata.day[177].absences[0].absenceType}</t>
  </si>
  <si>
    <t>{jsdata.day[177].absences[1].absenceType}</t>
  </si>
  <si>
    <t>{jsdata.day[178].absences[0].absenceType}</t>
  </si>
  <si>
    <t>{jsdata.day[178].absences[1].absenceType}</t>
  </si>
  <si>
    <t>{jsdata.day[179].absences[0].absenceType}</t>
  </si>
  <si>
    <t>{jsdata.day[179].absences[1].absenceType}</t>
  </si>
  <si>
    <t>{jsdata.day[180].absences[0].absenceType}</t>
  </si>
  <si>
    <t>{jsdata.day[180].absences[1].absenceType}</t>
  </si>
  <si>
    <t>{jsdata.day[181].absences[0].absenceType}</t>
  </si>
  <si>
    <t>{jsdata.day[181].absences[1].absenceType}</t>
  </si>
  <si>
    <t>{jsdata.day[182].absences[0].absenceType}</t>
  </si>
  <si>
    <t>{jsdata.day[182].absences[1].absenceType}</t>
  </si>
  <si>
    <t>{jsdata.day[183].absences[0].absenceType}</t>
  </si>
  <si>
    <t>{jsdata.day[183].absences[1].absenceType}</t>
  </si>
  <si>
    <t>{jsdata.day[184].absences[0].absenceType}</t>
  </si>
  <si>
    <t>{jsdata.day[184].absences[1].absenceType}</t>
  </si>
  <si>
    <t>{jsdata.day[185].absences[0].absenceType}</t>
  </si>
  <si>
    <t>{jsdata.day[185].absences[1].absenceType}</t>
  </si>
  <si>
    <t>{jsdata.day[186].absences[0].absenceType}</t>
  </si>
  <si>
    <t>{jsdata.day[186].absences[1].absenceType}</t>
  </si>
  <si>
    <t>{jsdata.day[187].absences[0].absenceType}</t>
  </si>
  <si>
    <t>{jsdata.day[187].absences[1].absenceType}</t>
  </si>
  <si>
    <t>{jsdata.day[188].absences[0].absenceType}</t>
  </si>
  <si>
    <t>{jsdata.day[188].absences[1].absenceType}</t>
  </si>
  <si>
    <t>{jsdata.day[189].absences[0].absenceType}</t>
  </si>
  <si>
    <t>{jsdata.day[189].absences[1].absenceType}</t>
  </si>
  <si>
    <t>{jsdata.day[190].absences[0].absenceType}</t>
  </si>
  <si>
    <t>{jsdata.day[190].absences[1].absenceType}</t>
  </si>
  <si>
    <t>{jsdata.day[191].absences[0].absenceType}</t>
  </si>
  <si>
    <t>{jsdata.day[191].absences[1].absenceType}</t>
  </si>
  <si>
    <t>{jsdata.day[192].absences[0].absenceType}</t>
  </si>
  <si>
    <t>{jsdata.day[192].absences[1].absenceType}</t>
  </si>
  <si>
    <t>{jsdata.day[193].absences[0].absenceType}</t>
  </si>
  <si>
    <t>{jsdata.day[193].absences[1].absenceType}</t>
  </si>
  <si>
    <t>{jsdata.day[194].absences[0].absenceType}</t>
  </si>
  <si>
    <t>{jsdata.day[194].absences[1].absenceType}</t>
  </si>
  <si>
    <t>{jsdata.day[195].absences[0].absenceType}</t>
  </si>
  <si>
    <t>{jsdata.day[195].absences[1].absenceType}</t>
  </si>
  <si>
    <t>{jsdata.day[196].absences[0].absenceType}</t>
  </si>
  <si>
    <t>{jsdata.day[196].absences[1].absenceType}</t>
  </si>
  <si>
    <t>{jsdata.day[197].absences[0].absenceType}</t>
  </si>
  <si>
    <t>{jsdata.day[197].absences[1].absenceType}</t>
  </si>
  <si>
    <t>{jsdata.day[198].absences[0].absenceType}</t>
  </si>
  <si>
    <t>{jsdata.day[198].absences[1].absenceType}</t>
  </si>
  <si>
    <t>{jsdata.day[199].absences[0].absenceType}</t>
  </si>
  <si>
    <t>{jsdata.day[199].absences[1].absenceType}</t>
  </si>
  <si>
    <t>{jsdata.day[200].absences[0].absenceType}</t>
  </si>
  <si>
    <t>{jsdata.day[200].absences[1].absenceType}</t>
  </si>
  <si>
    <t>{jsdata.day[201].absences[0].absenceType}</t>
  </si>
  <si>
    <t>{jsdata.day[201].absences[1].absenceType}</t>
  </si>
  <si>
    <t>{jsdata.day[202].absences[0].absenceType}</t>
  </si>
  <si>
    <t>{jsdata.day[202].absences[1].absenceType}</t>
  </si>
  <si>
    <t>{jsdata.day[203].absences[0].absenceType}</t>
  </si>
  <si>
    <t>{jsdata.day[203].absences[1].absenceType}</t>
  </si>
  <si>
    <t>{jsdata.day[204].absences[0].absenceType}</t>
  </si>
  <si>
    <t>{jsdata.day[204].absences[1].absenceType}</t>
  </si>
  <si>
    <t>{jsdata.day[205].absences[0].absenceType}</t>
  </si>
  <si>
    <t>{jsdata.day[205].absences[1].absenceType}</t>
  </si>
  <si>
    <t>{jsdata.day[206].absences[0].absenceType}</t>
  </si>
  <si>
    <t>{jsdata.day[206].absences[1].absenceType}</t>
  </si>
  <si>
    <t>{jsdata.day[207].absences[0].absenceType}</t>
  </si>
  <si>
    <t>{jsdata.day[207].absences[1].absenceType}</t>
  </si>
  <si>
    <t>{jsdata.day[208].absences[0].absenceType}</t>
  </si>
  <si>
    <t>{jsdata.day[208].absences[1].absenceType}</t>
  </si>
  <si>
    <t>{jsdata.day[209].absences[0].absenceType}</t>
  </si>
  <si>
    <t>{jsdata.day[209].absences[1].absenceType}</t>
  </si>
  <si>
    <t>{jsdata.day[210].absences[0].absenceType}</t>
  </si>
  <si>
    <t>{jsdata.day[210].absences[1].absenceType}</t>
  </si>
  <si>
    <t>{jsdata.day[211].absences[0].absenceType}</t>
  </si>
  <si>
    <t>{jsdata.day[211].absences[1].absenceType}</t>
  </si>
  <si>
    <t>{jsdata.day[212].absences[0].absenceType}</t>
  </si>
  <si>
    <t>{jsdata.day[212].absences[1].absenceType}</t>
  </si>
  <si>
    <t>{jsdata.day[213].absences[0].absenceType}</t>
  </si>
  <si>
    <t>{jsdata.day[213].absences[1].absenceType}</t>
  </si>
  <si>
    <t>{jsdata.day[214].absences[0].absenceType}</t>
  </si>
  <si>
    <t>{jsdata.day[214].absences[1].absenceType}</t>
  </si>
  <si>
    <t>{jsdata.day[215].absences[0].absenceType}</t>
  </si>
  <si>
    <t>{jsdata.day[215].absences[1].absenceType}</t>
  </si>
  <si>
    <t>{jsdata.day[216].absences[0].absenceType}</t>
  </si>
  <si>
    <t>{jsdata.day[216].absences[1].absenceType}</t>
  </si>
  <si>
    <t>{jsdata.day[217].absences[0].absenceType}</t>
  </si>
  <si>
    <t>{jsdata.day[217].absences[1].absenceType}</t>
  </si>
  <si>
    <t>{jsdata.day[218].absences[0].absenceType}</t>
  </si>
  <si>
    <t>{jsdata.day[218].absences[1].absenceType}</t>
  </si>
  <si>
    <t>{jsdata.day[219].absences[0].absenceType}</t>
  </si>
  <si>
    <t>{jsdata.day[219].absences[1].absenceType}</t>
  </si>
  <si>
    <t>{jsdata.day[220].absences[0].absenceType}</t>
  </si>
  <si>
    <t>{jsdata.day[220].absences[1].absenceType}</t>
  </si>
  <si>
    <t>{jsdata.day[221].absences[0].absenceType}</t>
  </si>
  <si>
    <t>{jsdata.day[221].absences[1].absenceType}</t>
  </si>
  <si>
    <t>{jsdata.day[222].absences[0].absenceType}</t>
  </si>
  <si>
    <t>{jsdata.day[222].absences[1].absenceType}</t>
  </si>
  <si>
    <t>{jsdata.day[223].absences[0].absenceType}</t>
  </si>
  <si>
    <t>{jsdata.day[223].absences[1].absenceType}</t>
  </si>
  <si>
    <t>{jsdata.day[224].absences[0].absenceType}</t>
  </si>
  <si>
    <t>{jsdata.day[224].absences[1].absenceType}</t>
  </si>
  <si>
    <t>{jsdata.day[225].absences[0].absenceType}</t>
  </si>
  <si>
    <t>{jsdata.day[225].absences[1].absenceType}</t>
  </si>
  <si>
    <t>{jsdata.day[226].absences[0].absenceType}</t>
  </si>
  <si>
    <t>{jsdata.day[226].absences[1].absenceType}</t>
  </si>
  <si>
    <t>{jsdata.day[227].absences[0].absenceType}</t>
  </si>
  <si>
    <t>{jsdata.day[227].absences[1].absenceType}</t>
  </si>
  <si>
    <t>{jsdata.day[228].absences[0].absenceType}</t>
  </si>
  <si>
    <t>{jsdata.day[228].absences[1].absenceType}</t>
  </si>
  <si>
    <t>{jsdata.day[229].absences[0].absenceType}</t>
  </si>
  <si>
    <t>{jsdata.day[229].absences[1].absenceType}</t>
  </si>
  <si>
    <t>{jsdata.day[230].absences[0].absenceType}</t>
  </si>
  <si>
    <t>{jsdata.day[230].absences[1].absenceType}</t>
  </si>
  <si>
    <t>{jsdata.day[231].absences[0].absenceType}</t>
  </si>
  <si>
    <t>{jsdata.day[231].absences[1].absenceType}</t>
  </si>
  <si>
    <t>{jsdata.day[232].absences[0].absenceType}</t>
  </si>
  <si>
    <t>{jsdata.day[232].absences[1].absenceType}</t>
  </si>
  <si>
    <t>{jsdata.day[233].absences[0].absenceType}</t>
  </si>
  <si>
    <t>{jsdata.day[233].absences[1].absenceType}</t>
  </si>
  <si>
    <t>{jsdata.day[234].absences[0].absenceType}</t>
  </si>
  <si>
    <t>{jsdata.day[234].absences[1].absenceType}</t>
  </si>
  <si>
    <t>{jsdata.day[235].absences[0].absenceType}</t>
  </si>
  <si>
    <t>{jsdata.day[235].absences[1].absenceType}</t>
  </si>
  <si>
    <t>{jsdata.day[236].absences[0].absenceType}</t>
  </si>
  <si>
    <t>{jsdata.day[236].absences[1].absenceType}</t>
  </si>
  <si>
    <t>{jsdata.day[237].absences[0].absenceType}</t>
  </si>
  <si>
    <t>{jsdata.day[237].absences[1].absenceType}</t>
  </si>
  <si>
    <t>{jsdata.day[238].absences[0].absenceType}</t>
  </si>
  <si>
    <t>{jsdata.day[238].absences[1].absenceType}</t>
  </si>
  <si>
    <t>{jsdata.day[239].absences[0].absenceType}</t>
  </si>
  <si>
    <t>{jsdata.day[239].absences[1].absenceType}</t>
  </si>
  <si>
    <t>{jsdata.day[240].absences[0].absenceType}</t>
  </si>
  <si>
    <t>{jsdata.day[240].absences[1].absenceType}</t>
  </si>
  <si>
    <t>{jsdata.day[241].absences[0].absenceType}</t>
  </si>
  <si>
    <t>{jsdata.day[241].absences[1].absenceType}</t>
  </si>
  <si>
    <t>{jsdata.day[242].absences[0].absenceType}</t>
  </si>
  <si>
    <t>{jsdata.day[242].absences[1].absenceType}</t>
  </si>
  <si>
    <t>{jsdata.day[243].absences[0].absenceType}</t>
  </si>
  <si>
    <t>{jsdata.day[243].absences[1].absenceType}</t>
  </si>
  <si>
    <t>{jsdata.day[244].absences[0].absenceType}</t>
  </si>
  <si>
    <t>{jsdata.day[244].absences[1].absenceType}</t>
  </si>
  <si>
    <t>{jsdata.day[245].absences[0].absenceType}</t>
  </si>
  <si>
    <t>{jsdata.day[245].absences[1].absenceType}</t>
  </si>
  <si>
    <t>{jsdata.day[246].absences[0].absenceType}</t>
  </si>
  <si>
    <t>{jsdata.day[246].absences[1].absenceType}</t>
  </si>
  <si>
    <t>{jsdata.day[247].absences[0].absenceType}</t>
  </si>
  <si>
    <t>{jsdata.day[247].absences[1].absenceType}</t>
  </si>
  <si>
    <t>{jsdata.day[248].absences[0].absenceType}</t>
  </si>
  <si>
    <t>{jsdata.day[248].absences[1].absenceType}</t>
  </si>
  <si>
    <t>{jsdata.day[249].absences[0].absenceType}</t>
  </si>
  <si>
    <t>{jsdata.day[249].absences[1].absenceType}</t>
  </si>
  <si>
    <t>{jsdata.day[250].absences[0].absenceType}</t>
  </si>
  <si>
    <t>{jsdata.day[250].absences[1].absenceType}</t>
  </si>
  <si>
    <t>{jsdata.day[251].absences[0].absenceType}</t>
  </si>
  <si>
    <t>{jsdata.day[251].absences[1].absenceType}</t>
  </si>
  <si>
    <t>{jsdata.day[252].absences[0].absenceType}</t>
  </si>
  <si>
    <t>{jsdata.day[252].absences[1].absenceType}</t>
  </si>
  <si>
    <t>{jsdata.day[253].absences[0].absenceType}</t>
  </si>
  <si>
    <t>{jsdata.day[253].absences[1].absenceType}</t>
  </si>
  <si>
    <t>{jsdata.day[254].absences[0].absenceType}</t>
  </si>
  <si>
    <t>{jsdata.day[254].absences[1].absenceType}</t>
  </si>
  <si>
    <t>{jsdata.day[255].absences[0].absenceType}</t>
  </si>
  <si>
    <t>{jsdata.day[255].absences[1].absenceType}</t>
  </si>
  <si>
    <t>{jsdata.day[256].absences[0].absenceType}</t>
  </si>
  <si>
    <t>{jsdata.day[256].absences[1].absenceType}</t>
  </si>
  <si>
    <t>{jsdata.day[257].absences[0].absenceType}</t>
  </si>
  <si>
    <t>{jsdata.day[257].absences[1].absenceType}</t>
  </si>
  <si>
    <t>{jsdata.day[258].absences[0].absenceType}</t>
  </si>
  <si>
    <t>{jsdata.day[258].absences[1].absenceType}</t>
  </si>
  <si>
    <t>{jsdata.day[259].absences[0].absenceType}</t>
  </si>
  <si>
    <t>{jsdata.day[259].absences[1].absenceType}</t>
  </si>
  <si>
    <t>{jsdata.day[260].absences[0].absenceType}</t>
  </si>
  <si>
    <t>{jsdata.day[260].absences[1].absenceType}</t>
  </si>
  <si>
    <t>{jsdata.day[261].absences[0].absenceType}</t>
  </si>
  <si>
    <t>{jsdata.day[261].absences[1].absenceType}</t>
  </si>
  <si>
    <t>{jsdata.day[262].absences[0].absenceType}</t>
  </si>
  <si>
    <t>{jsdata.day[262].absences[1].absenceType}</t>
  </si>
  <si>
    <t>{jsdata.day[263].absences[0].absenceType}</t>
  </si>
  <si>
    <t>{jsdata.day[263].absences[1].absenceType}</t>
  </si>
  <si>
    <t>{jsdata.day[264].absences[0].absenceType}</t>
  </si>
  <si>
    <t>{jsdata.day[264].absences[1].absenceType}</t>
  </si>
  <si>
    <t>{jsdata.day[265].absences[0].absenceType}</t>
  </si>
  <si>
    <t>{jsdata.day[265].absences[1].absenceType}</t>
  </si>
  <si>
    <t>{jsdata.day[266].absences[0].absenceType}</t>
  </si>
  <si>
    <t>{jsdata.day[266].absences[1].absenceType}</t>
  </si>
  <si>
    <t>{jsdata.day[267].absences[0].absenceType}</t>
  </si>
  <si>
    <t>{jsdata.day[267].absences[1].absenceType}</t>
  </si>
  <si>
    <t>{jsdata.day[268].absences[0].absenceType}</t>
  </si>
  <si>
    <t>{jsdata.day[268].absences[1].absenceType}</t>
  </si>
  <si>
    <t>{jsdata.day[269].absences[0].absenceType}</t>
  </si>
  <si>
    <t>{jsdata.day[269].absences[1].absenceType}</t>
  </si>
  <si>
    <t>{jsdata.day[270].absences[0].absenceType}</t>
  </si>
  <si>
    <t>{jsdata.day[270].absences[1].absenceType}</t>
  </si>
  <si>
    <t>{jsdata.day[271].absences[0].absenceType}</t>
  </si>
  <si>
    <t>{jsdata.day[271].absences[1].absenceType}</t>
  </si>
  <si>
    <t>{jsdata.day[272].absences[0].absenceType}</t>
  </si>
  <si>
    <t>{jsdata.day[272].absences[1].absenceType}</t>
  </si>
  <si>
    <t>{jsdata.day[273].absences[0].absenceType}</t>
  </si>
  <si>
    <t>{jsdata.day[273].absences[1].absenceType}</t>
  </si>
  <si>
    <t>{jsdata.day[274].absences[0].absenceType}</t>
  </si>
  <si>
    <t>{jsdata.day[274].absences[1].absenceType}</t>
  </si>
  <si>
    <t>{jsdata.day[275].absences[0].absenceType}</t>
  </si>
  <si>
    <t>{jsdata.day[275].absences[1].absenceType}</t>
  </si>
  <si>
    <t>{jsdata.day[276].absences[0].absenceType}</t>
  </si>
  <si>
    <t>{jsdata.day[276].absences[1].absenceType}</t>
  </si>
  <si>
    <t>{jsdata.day[277].absences[0].absenceType}</t>
  </si>
  <si>
    <t>{jsdata.day[277].absences[1].absenceType}</t>
  </si>
  <si>
    <t>{jsdata.day[278].absences[0].absenceType}</t>
  </si>
  <si>
    <t>{jsdata.day[278].absences[1].absenceType}</t>
  </si>
  <si>
    <t>{jsdata.day[279].absences[0].absenceType}</t>
  </si>
  <si>
    <t>{jsdata.day[279].absences[1].absenceType}</t>
  </si>
  <si>
    <t>{jsdata.day[280].absences[0].absenceType}</t>
  </si>
  <si>
    <t>{jsdata.day[280].absences[1].absenceType}</t>
  </si>
  <si>
    <t>{jsdata.day[281].absences[0].absenceType}</t>
  </si>
  <si>
    <t>{jsdata.day[281].absences[1].absenceType}</t>
  </si>
  <si>
    <t>{jsdata.day[282].absences[0].absenceType}</t>
  </si>
  <si>
    <t>{jsdata.day[282].absences[1].absenceType}</t>
  </si>
  <si>
    <t>{jsdata.day[283].absences[0].absenceType}</t>
  </si>
  <si>
    <t>{jsdata.day[283].absences[1].absenceType}</t>
  </si>
  <si>
    <t>{jsdata.day[284].absences[0].absenceType}</t>
  </si>
  <si>
    <t>{jsdata.day[284].absences[1].absenceType}</t>
  </si>
  <si>
    <t>{jsdata.day[285].absences[0].absenceType}</t>
  </si>
  <si>
    <t>{jsdata.day[285].absences[1].absenceType}</t>
  </si>
  <si>
    <t>{jsdata.day[286].absences[0].absenceType}</t>
  </si>
  <si>
    <t>{jsdata.day[286].absences[1].absenceType}</t>
  </si>
  <si>
    <t>{jsdata.day[287].absences[0].absenceType}</t>
  </si>
  <si>
    <t>{jsdata.day[287].absences[1].absenceType}</t>
  </si>
  <si>
    <t>{jsdata.day[288].absences[0].absenceType}</t>
  </si>
  <si>
    <t>{jsdata.day[288].absences[1].absenceType}</t>
  </si>
  <si>
    <t>{jsdata.day[289].absences[0].absenceType}</t>
  </si>
  <si>
    <t>{jsdata.day[289].absences[1].absenceType}</t>
  </si>
  <si>
    <t>{jsdata.day[290].absences[0].absenceType}</t>
  </si>
  <si>
    <t>{jsdata.day[290].absences[1].absenceType}</t>
  </si>
  <si>
    <t>{jsdata.day[291].absences[0].absenceType}</t>
  </si>
  <si>
    <t>{jsdata.day[291].absences[1].absenceType}</t>
  </si>
  <si>
    <t>{jsdata.day[292].absences[0].absenceType}</t>
  </si>
  <si>
    <t>{jsdata.day[292].absences[1].absenceType}</t>
  </si>
  <si>
    <t>{jsdata.day[293].absences[0].absenceType}</t>
  </si>
  <si>
    <t>{jsdata.day[293].absences[1].absenceType}</t>
  </si>
  <si>
    <t>{jsdata.day[294].absences[0].absenceType}</t>
  </si>
  <si>
    <t>{jsdata.day[294].absences[1].absenceType}</t>
  </si>
  <si>
    <t>{jsdata.day[295].absences[0].absenceType}</t>
  </si>
  <si>
    <t>{jsdata.day[295].absences[1].absenceType}</t>
  </si>
  <si>
    <t>{jsdata.day[296].absences[0].absenceType}</t>
  </si>
  <si>
    <t>{jsdata.day[296].absences[1].absenceType}</t>
  </si>
  <si>
    <t>{jsdata.day[297].absences[0].absenceType}</t>
  </si>
  <si>
    <t>{jsdata.day[297].absences[1].absenceType}</t>
  </si>
  <si>
    <t>{jsdata.day[298].absences[0].absenceType}</t>
  </si>
  <si>
    <t>{jsdata.day[298].absences[1].absenceType}</t>
  </si>
  <si>
    <t>{jsdata.day[299].absences[0].absenceType}</t>
  </si>
  <si>
    <t>{jsdata.day[299].absences[1].absenceType}</t>
  </si>
  <si>
    <t>{jsdata.day[300].absences[0].absenceType}</t>
  </si>
  <si>
    <t>{jsdata.day[300].absences[1].absenceType}</t>
  </si>
  <si>
    <t>{jsdata.day[301].absences[0].absenceType}</t>
  </si>
  <si>
    <t>{jsdata.day[301].absences[1].absenceType}</t>
  </si>
  <si>
    <t>{jsdata.day[302].absences[0].absenceType}</t>
  </si>
  <si>
    <t>{jsdata.day[302].absences[1].absenceType}</t>
  </si>
  <si>
    <t>{jsdata.day[303].absences[0].absenceType}</t>
  </si>
  <si>
    <t>{jsdata.day[303].absences[1].absenceType}</t>
  </si>
  <si>
    <t>{jsdata.day[304].absences[0].absenceType}</t>
  </si>
  <si>
    <t>{jsdata.day[304].absences[1].absenceType}</t>
  </si>
  <si>
    <t>{jsdata.day[305].absences[0].absenceType}</t>
  </si>
  <si>
    <t>{jsdata.day[305].absences[1].absenceType}</t>
  </si>
  <si>
    <t>{jsdata.day[306].absences[0].absenceType}</t>
  </si>
  <si>
    <t>{jsdata.day[306].absences[1].absenceType}</t>
  </si>
  <si>
    <t>{jsdata.day[307].absences[0].absenceType}</t>
  </si>
  <si>
    <t>{jsdata.day[307].absences[1].absenceType}</t>
  </si>
  <si>
    <t>{jsdata.day[308].absences[0].absenceType}</t>
  </si>
  <si>
    <t>{jsdata.day[308].absences[1].absenceType}</t>
  </si>
  <si>
    <t>{jsdata.day[309].absences[0].absenceType}</t>
  </si>
  <si>
    <t>{jsdata.day[309].absences[1].absenceType}</t>
  </si>
  <si>
    <t>{jsdata.day[310].absences[0].absenceType}</t>
  </si>
  <si>
    <t>{jsdata.day[310].absences[1].absenceType}</t>
  </si>
  <si>
    <t>{jsdata.day[311].absences[0].absenceType}</t>
  </si>
  <si>
    <t>{jsdata.day[311].absences[1].absenceType}</t>
  </si>
  <si>
    <t>{jsdata.day[312].absences[0].absenceType}</t>
  </si>
  <si>
    <t>{jsdata.day[312].absences[1].absenceType}</t>
  </si>
  <si>
    <t>{jsdata.day[313].absences[0].absenceType}</t>
  </si>
  <si>
    <t>{jsdata.day[313].absences[1].absenceType}</t>
  </si>
  <si>
    <t>{jsdata.day[314].absences[0].absenceType}</t>
  </si>
  <si>
    <t>{jsdata.day[314].absences[1].absenceType}</t>
  </si>
  <si>
    <t>{jsdata.day[315].absences[0].absenceType}</t>
  </si>
  <si>
    <t>{jsdata.day[315].absences[1].absenceType}</t>
  </si>
  <si>
    <t>{jsdata.day[316].absences[0].absenceType}</t>
  </si>
  <si>
    <t>{jsdata.day[316].absences[1].absenceType}</t>
  </si>
  <si>
    <t>{jsdata.day[317].absences[0].absenceType}</t>
  </si>
  <si>
    <t>{jsdata.day[317].absences[1].absenceType}</t>
  </si>
  <si>
    <t>{jsdata.day[318].absences[0].absenceType}</t>
  </si>
  <si>
    <t>{jsdata.day[318].absences[1].absenceType}</t>
  </si>
  <si>
    <t>{jsdata.day[319].absences[0].absenceType}</t>
  </si>
  <si>
    <t>{jsdata.day[319].absences[1].absenceType}</t>
  </si>
  <si>
    <t>{jsdata.day[320].absences[0].absenceType}</t>
  </si>
  <si>
    <t>{jsdata.day[320].absences[1].absenceType}</t>
  </si>
  <si>
    <t>{jsdata.day[321].absences[0].absenceType}</t>
  </si>
  <si>
    <t>{jsdata.day[321].absences[1].absenceType}</t>
  </si>
  <si>
    <t>{jsdata.day[322].absences[0].absenceType}</t>
  </si>
  <si>
    <t>{jsdata.day[322].absences[1].absenceType}</t>
  </si>
  <si>
    <t>{jsdata.day[323].absences[0].absenceType}</t>
  </si>
  <si>
    <t>{jsdata.day[323].absences[1].absenceType}</t>
  </si>
  <si>
    <t>{jsdata.day[324].absences[0].absenceType}</t>
  </si>
  <si>
    <t>{jsdata.day[324].absences[1].absenceType}</t>
  </si>
  <si>
    <t>{jsdata.day[325].absences[0].absenceType}</t>
  </si>
  <si>
    <t>{jsdata.day[325].absences[1].absenceType}</t>
  </si>
  <si>
    <t>{jsdata.day[326].absences[0].absenceType}</t>
  </si>
  <si>
    <t>{jsdata.day[326].absences[1].absenceType}</t>
  </si>
  <si>
    <t>{jsdata.day[327].absences[0].absenceType}</t>
  </si>
  <si>
    <t>{jsdata.day[327].absences[1].absenceType}</t>
  </si>
  <si>
    <t>{jsdata.day[328].absences[0].absenceType}</t>
  </si>
  <si>
    <t>{jsdata.day[328].absences[1].absenceType}</t>
  </si>
  <si>
    <t>{jsdata.day[329].absences[0].absenceType}</t>
  </si>
  <si>
    <t>{jsdata.day[329].absences[1].absenceType}</t>
  </si>
  <si>
    <t>{jsdata.day[330].absences[0].absenceType}</t>
  </si>
  <si>
    <t>{jsdata.day[330].absences[1].absenceType}</t>
  </si>
  <si>
    <t>{jsdata.day[331].absences[0].absenceType}</t>
  </si>
  <si>
    <t>{jsdata.day[331].absences[1].absenceType}</t>
  </si>
  <si>
    <t>{jsdata.day[332].absences[0].absenceType}</t>
  </si>
  <si>
    <t>{jsdata.day[332].absences[1].absenceType}</t>
  </si>
  <si>
    <t>{jsdata.day[333].absences[0].absenceType}</t>
  </si>
  <si>
    <t>{jsdata.day[333].absences[1].absenceType}</t>
  </si>
  <si>
    <t>{jsdata.day[334].absences[0].absenceType}</t>
  </si>
  <si>
    <t>{jsdata.day[334].absences[1].absenceType}</t>
  </si>
  <si>
    <t>{jsdata.day[335].absences[0].absenceType}</t>
  </si>
  <si>
    <t>{jsdata.day[335].absences[1].absenceType}</t>
  </si>
  <si>
    <t>{jsdata.day[336].absences[0].absenceType}</t>
  </si>
  <si>
    <t>{jsdata.day[336].absences[1].absenceType}</t>
  </si>
  <si>
    <t>{jsdata.day[337].absences[0].absenceType}</t>
  </si>
  <si>
    <t>{jsdata.day[337].absences[1].absenceType}</t>
  </si>
  <si>
    <t>{jsdata.day[338].absences[0].absenceType}</t>
  </si>
  <si>
    <t>{jsdata.day[338].absences[1].absenceType}</t>
  </si>
  <si>
    <t>{jsdata.day[339].absences[0].absenceType}</t>
  </si>
  <si>
    <t>{jsdata.day[339].absences[1].absenceType}</t>
  </si>
  <si>
    <t>{jsdata.day[340].absences[0].absenceType}</t>
  </si>
  <si>
    <t>{jsdata.day[340].absences[1].absenceType}</t>
  </si>
  <si>
    <t>{jsdata.day[341].absences[0].absenceType}</t>
  </si>
  <si>
    <t>{jsdata.day[341].absences[1].absenceType}</t>
  </si>
  <si>
    <t>{jsdata.day[342].absences[0].absenceType}</t>
  </si>
  <si>
    <t>{jsdata.day[342].absences[1].absenceType}</t>
  </si>
  <si>
    <t>{jsdata.day[343].absences[0].absenceType}</t>
  </si>
  <si>
    <t>{jsdata.day[343].absences[1].absenceType}</t>
  </si>
  <si>
    <t>{jsdata.day[344].absences[0].absenceType}</t>
  </si>
  <si>
    <t>{jsdata.day[344].absences[1].absenceType}</t>
  </si>
  <si>
    <t>{jsdata.day[345].absences[0].absenceType}</t>
  </si>
  <si>
    <t>{jsdata.day[345].absences[1].absenceType}</t>
  </si>
  <si>
    <t>{jsdata.day[346].absences[0].absenceType}</t>
  </si>
  <si>
    <t>{jsdata.day[346].absences[1].absenceType}</t>
  </si>
  <si>
    <t>{jsdata.day[347].absences[0].absenceType}</t>
  </si>
  <si>
    <t>{jsdata.day[347].absences[1].absenceType}</t>
  </si>
  <si>
    <t>{jsdata.day[348].absences[0].absenceType}</t>
  </si>
  <si>
    <t>{jsdata.day[348].absences[1].absenceType}</t>
  </si>
  <si>
    <t>{jsdata.day[349].absences[0].absenceType}</t>
  </si>
  <si>
    <t>{jsdata.day[349].absences[1].absenceType}</t>
  </si>
  <si>
    <t>{jsdata.day[350].absences[0].absenceType}</t>
  </si>
  <si>
    <t>{jsdata.day[350].absences[1].absenceType}</t>
  </si>
  <si>
    <t>{jsdata.day[351].absences[0].absenceType}</t>
  </si>
  <si>
    <t>{jsdata.day[351].absences[1].absenceType}</t>
  </si>
  <si>
    <t>{jsdata.day[352].absences[0].absenceType}</t>
  </si>
  <si>
    <t>{jsdata.day[352].absences[1].absenceType}</t>
  </si>
  <si>
    <t>{jsdata.day[353].absences[0].absenceType}</t>
  </si>
  <si>
    <t>{jsdata.day[353].absences[1].absenceType}</t>
  </si>
  <si>
    <t>{jsdata.day[354].absences[0].absenceType}</t>
  </si>
  <si>
    <t>{jsdata.day[354].absences[1].absenceType}</t>
  </si>
  <si>
    <t>{jsdata.day[355].absences[0].absenceType}</t>
  </si>
  <si>
    <t>{jsdata.day[355].absences[1].absenceType}</t>
  </si>
  <si>
    <t>{jsdata.day[356].absences[0].absenceType}</t>
  </si>
  <si>
    <t>{jsdata.day[356].absences[1].absenceType}</t>
  </si>
  <si>
    <t>{jsdata.day[357].absences[0].absenceType}</t>
  </si>
  <si>
    <t>{jsdata.day[357].absences[1].absenceType}</t>
  </si>
  <si>
    <t>{jsdata.day[358].absences[0].absenceType}</t>
  </si>
  <si>
    <t>{jsdata.day[358].absences[1].absenceType}</t>
  </si>
  <si>
    <t>{jsdata.day[359].absences[0].absenceType}</t>
  </si>
  <si>
    <t>{jsdata.day[359].absences[1].absenceType}</t>
  </si>
  <si>
    <t>{jsdata.day[360].absences[0].absenceType}</t>
  </si>
  <si>
    <t>{jsdata.day[360].absences[1].absenceType}</t>
  </si>
  <si>
    <t>{jsdata.day[361].absences[0].absenceType}</t>
  </si>
  <si>
    <t>{jsdata.day[361].absences[1].absenceType}</t>
  </si>
  <si>
    <t>{jsdata.day[362].absences[0].absenceType}</t>
  </si>
  <si>
    <t>{jsdata.day[362].absences[1].absenceType}</t>
  </si>
  <si>
    <t>{jsdata.day[363].absences[0].absenceType}</t>
  </si>
  <si>
    <t>{jsdata.day[363].absences[1].absenceType}</t>
  </si>
  <si>
    <t>{jsdata.day[364].absences[0].absenceType}</t>
  </si>
  <si>
    <t>{jsdata.day[364].absences[1].absenceType}</t>
  </si>
  <si>
    <t>{jsdata.day[365].absences[0].absenceType}</t>
  </si>
  <si>
    <t>{jsdata.day[365].absences[1].absenceType}</t>
  </si>
  <si>
    <t>{jsdata.day[366].absences[0].absenceType}</t>
  </si>
  <si>
    <t>{jsdata.day[366].absences[1].absenceType}</t>
  </si>
  <si>
    <t>{jsdata.day[367].absences[0].absenceType}</t>
  </si>
  <si>
    <t>{jsdata.day[367].absences[1].absenceType}</t>
  </si>
  <si>
    <t>{jsdata.day[368].absences[0].absenceType}</t>
  </si>
  <si>
    <t>{jsdata.day[368].absences[1].absenceType}</t>
  </si>
  <si>
    <t>{jsdata.day[369].absences[0].absenceType}</t>
  </si>
  <si>
    <t>{jsdata.day[369].absences[1].absenceType}</t>
  </si>
  <si>
    <t>{jsdata.day[370].absences[0].absenceType}</t>
  </si>
  <si>
    <t>{jsdata.day[370].absences[1].absenceType}</t>
  </si>
  <si>
    <t>{jsdata.day[371].absences[0].absenceType}</t>
  </si>
  <si>
    <t>{jsdata.day[371].absences[1].absenceType}</t>
  </si>
  <si>
    <t>{jsdata.day[372].absences[0].absenceType}</t>
  </si>
  <si>
    <t>{jsdata.day[372].absences[1].absenceType}</t>
  </si>
  <si>
    <t>{jsdata.day[373].absences[0].absenceType}</t>
  </si>
  <si>
    <t>{jsdata.day[373].absences[1].absenceType}</t>
  </si>
  <si>
    <t>{jsdata.day[374].absences[0].absenceType}</t>
  </si>
  <si>
    <t>{jsdata.day[374].absences[1].absenceType}</t>
  </si>
  <si>
    <t>{jsdata.day[375].absences[0].absenceType}</t>
  </si>
  <si>
    <t>{jsdata.day[375].absences[1].absenceType}</t>
  </si>
  <si>
    <t>{jsdata.day[376].absences[0].absenceType}</t>
  </si>
  <si>
    <t>{jsdata.day[376].absences[1].absenceType}</t>
  </si>
  <si>
    <t>{jsdata.day[377].absences[0].absenceType}</t>
  </si>
  <si>
    <t>{jsdata.day[377].absences[1].absenceType}</t>
  </si>
  <si>
    <t>{jsdata.day[378].absences[0].absenceType}</t>
  </si>
  <si>
    <t>{jsdata.day[378].absences[1].absenceType}</t>
  </si>
  <si>
    <t>{jsdata.day[379].absences[0].absenceType}</t>
  </si>
  <si>
    <t>{jsdata.day[379].absences[1].absenceType}</t>
  </si>
  <si>
    <t>{jsdata.day[380].absences[0].absenceType}</t>
  </si>
  <si>
    <t>{jsdata.day[380].absences[1].absenceType}</t>
  </si>
  <si>
    <t>{jsdata.day[381].absences[0].absenceType}</t>
  </si>
  <si>
    <t>{jsdata.day[381].absences[1].absenceType}</t>
  </si>
  <si>
    <t>{jsdata.day[382].absences[0].absenceType}</t>
  </si>
  <si>
    <t>{jsdata.day[382].absences[1].absenceType}</t>
  </si>
  <si>
    <t>{jsdata.day[383].absences[0].absenceType}</t>
  </si>
  <si>
    <t>{jsdata.day[383].absences[1].absenceType}</t>
  </si>
  <si>
    <t>{jsdata.day[384].absences[0].absenceType}</t>
  </si>
  <si>
    <t>{jsdata.day[384].absences[1].absenceType}</t>
  </si>
  <si>
    <t>{jsdata.day[385].absences[0].absenceType}</t>
  </si>
  <si>
    <t>{jsdata.day[385].absences[1].absenceType}</t>
  </si>
  <si>
    <t>{jsdata.day[386].absences[0].absenceType}</t>
  </si>
  <si>
    <t>{jsdata.day[386].absences[1].absenceType}</t>
  </si>
  <si>
    <t>{jsdata.day[387].absences[0].absenceType}</t>
  </si>
  <si>
    <t>{jsdata.day[387].absences[1].absenceType}</t>
  </si>
  <si>
    <t>{jsdata.day[388].absences[0].absenceType}</t>
  </si>
  <si>
    <t>{jsdata.day[388].absences[1].absenceType}</t>
  </si>
  <si>
    <t>{jsdata.day[389].absences[0].absenceType}</t>
  </si>
  <si>
    <t>{jsdata.day[389].absences[1].absenceType}</t>
  </si>
  <si>
    <t>{jsdata.day[390].absences[0].absenceType}</t>
  </si>
  <si>
    <t>{jsdata.day[390].absences[1].absenceType}</t>
  </si>
  <si>
    <t>{jsdata.day[391].absences[0].absenceType}</t>
  </si>
  <si>
    <t>{jsdata.day[391].absences[1].absenceType}</t>
  </si>
  <si>
    <t>{jsdata.day[392].absences[0].absenceType}</t>
  </si>
  <si>
    <t>{jsdata.day[392].absences[1].absenceType}</t>
  </si>
  <si>
    <t>{jsdata.day[393].absences[0].absenceType}</t>
  </si>
  <si>
    <t>{jsdata.day[393].absences[1].absenceType}</t>
  </si>
  <si>
    <t>{jsdata.day[394].absences[0].absenceType}</t>
  </si>
  <si>
    <t>{jsdata.day[394].absences[1].absenceType}</t>
  </si>
  <si>
    <t>{jsdata.day[395].absences[0].absenceType}</t>
  </si>
  <si>
    <t>{jsdata.day[395].absences[1].absenceType}</t>
  </si>
  <si>
    <t>{jsdata.day[396].absences[0].absenceType}</t>
  </si>
  <si>
    <t>{jsdata.day[396].absences[1].absenceType}</t>
  </si>
  <si>
    <t>{jsdata.day[397].absences[0].absenceType}</t>
  </si>
  <si>
    <t>{jsdata.day[397].absences[1].absenceType}</t>
  </si>
  <si>
    <t>{jsdata.day[398].absences[0].absenceType}</t>
  </si>
  <si>
    <t>{jsdata.day[398].absences[1].absenceType}</t>
  </si>
  <si>
    <t>{jsdata.day[399].absences[0].absenceType}</t>
  </si>
  <si>
    <t>{jsdata.day[399].absences[1].absenceType}</t>
  </si>
  <si>
    <t>{jsdata.day[400].absences[0].absenceType}</t>
  </si>
  <si>
    <t>{jsdata.day[400].absences[1].absenceType}</t>
  </si>
  <si>
    <t>{jsdata.day[401].absences[0].absenceType}</t>
  </si>
  <si>
    <t>{jsdata.day[401].absences[1].absenceType}</t>
  </si>
  <si>
    <t>{jsdata.day[402].absences[0].absenceType}</t>
  </si>
  <si>
    <t>{jsdata.day[402].absences[1].absenceType}</t>
  </si>
  <si>
    <t>{jsdata.day[403].absences[0].absenceType}</t>
  </si>
  <si>
    <t>{jsdata.day[403].absences[1].absenceType}</t>
  </si>
  <si>
    <t>{jsdata.day[404].absences[0].absenceType}</t>
  </si>
  <si>
    <t>{jsdata.day[404].absences[1].absenceType}</t>
  </si>
  <si>
    <t>{jsdata.day[405].absences[0].absenceType}</t>
  </si>
  <si>
    <t>{jsdata.day[405].absences[1].absenceType}</t>
  </si>
  <si>
    <t>{jsdata.day[406].absences[0].absenceType}</t>
  </si>
  <si>
    <t>{jsdata.day[406].absences[1].absenceType}</t>
  </si>
  <si>
    <t>{jsdata.day[407].absences[0].absenceType}</t>
  </si>
  <si>
    <t>{jsdata.day[407].absences[1].absenceType}</t>
  </si>
  <si>
    <t>{jsdata.day[408].absences[0].absenceType}</t>
  </si>
  <si>
    <t>{jsdata.day[408].absences[1].absenceType}</t>
  </si>
  <si>
    <t>{jsdata.day[409].absences[0].absenceType}</t>
  </si>
  <si>
    <t>{jsdata.day[409].absences[1].absenceType}</t>
  </si>
  <si>
    <t>{jsdata.day[410].absences[0].absenceType}</t>
  </si>
  <si>
    <t>{jsdata.day[410].absences[1].absenceType}</t>
  </si>
  <si>
    <t>{jsdata.day[411].absences[0].absenceType}</t>
  </si>
  <si>
    <t>{jsdata.day[411].absences[1].absenceType}</t>
  </si>
  <si>
    <t>{jsdata.day[412].absences[0].absenceType}</t>
  </si>
  <si>
    <t>{jsdata.day[412].absences[1].absenceType}</t>
  </si>
  <si>
    <t>{jsdata.day[413].absences[0].absenceType}</t>
  </si>
  <si>
    <t>{jsdata.day[413].absences[1].absenceType}</t>
  </si>
  <si>
    <t>{jsdata.day[414].absences[0].absenceType}</t>
  </si>
  <si>
    <t>{jsdata.day[414].absences[1].absenceType}</t>
  </si>
  <si>
    <t>{jsdata.day[415].absences[0].absenceType}</t>
  </si>
  <si>
    <t>{jsdata.day[415].absences[1].absenceType}</t>
  </si>
  <si>
    <t>{jsdata.day[416].absences[0].absenceType}</t>
  </si>
  <si>
    <t>{jsdata.day[416].absences[1].absenceType}</t>
  </si>
  <si>
    <t>{jsdata.day[417].absences[0].absenceType}</t>
  </si>
  <si>
    <t>{jsdata.day[417].absences[1].absenceType}</t>
  </si>
  <si>
    <t>{jsdata.day[418].absences[0].absenceType}</t>
  </si>
  <si>
    <t>{jsdata.day[418].absences[1].absenceType}</t>
  </si>
  <si>
    <t>{jsdata.day[419].absences[0].absenceType}</t>
  </si>
  <si>
    <t>{jsdata.day[419].absences[1].absenceType}</t>
  </si>
  <si>
    <t>{jsdata.day[420].absences[0].absenceType}</t>
  </si>
  <si>
    <t>{jsdata.day[420].absences[1].absenceType}</t>
  </si>
  <si>
    <t>{jsdata.day[421].absences[0].absenceType}</t>
  </si>
  <si>
    <t>{jsdata.day[421].absences[1].absenceType}</t>
  </si>
  <si>
    <t>{jsdata.day[422].absences[0].absenceType}</t>
  </si>
  <si>
    <t>{jsdata.day[422].absences[1].absenceType}</t>
  </si>
  <si>
    <t>{jsdata.day[423].absences[0].absenceType}</t>
  </si>
  <si>
    <t>{jsdata.day[423].absences[1].absenceType}</t>
  </si>
  <si>
    <t>{jsdata.day[424].absences[0].absenceType}</t>
  </si>
  <si>
    <t>{jsdata.day[424].absences[1].absenceType}</t>
  </si>
  <si>
    <t>{jsdata.day[425].absences[0].absenceType}</t>
  </si>
  <si>
    <t>{jsdata.day[425].absences[1].absenceType}</t>
  </si>
  <si>
    <t>{jsdata.day[426].absences[0].absenceType}</t>
  </si>
  <si>
    <t>{jsdata.day[426].absences[1].absenceType}</t>
  </si>
  <si>
    <t>{jsdata.day[427].absences[0].absenceType}</t>
  </si>
  <si>
    <t>{jsdata.day[427].absences[1].absenceType}</t>
  </si>
  <si>
    <t>{jsdata.day[428].absences[0].absenceType}</t>
  </si>
  <si>
    <t>{jsdata.day[428].absences[1].absenceType}</t>
  </si>
  <si>
    <t>{jsdata.day[429].absences[0].absenceType}</t>
  </si>
  <si>
    <t>{jsdata.day[429].absences[1].absenceType}</t>
  </si>
  <si>
    <t>{jsdata.day[430].absences[0].absenceType}</t>
  </si>
  <si>
    <t>{jsdata.day[430].absences[1].absenceType}</t>
  </si>
  <si>
    <t>{jsdata.day[431].absences[0].absenceType}</t>
  </si>
  <si>
    <t>{jsdata.day[431].absences[1].absenceType}</t>
  </si>
  <si>
    <t>{jsdata.day[432].absences[0].absenceType}</t>
  </si>
  <si>
    <t>{jsdata.day[432].absences[1].absenceType}</t>
  </si>
  <si>
    <t>{jsdata.day[433].absences[0].absenceType}</t>
  </si>
  <si>
    <t>{jsdata.day[433].absences[1].absenceType}</t>
  </si>
  <si>
    <t>{jsdata.day[434].absences[0].absenceType}</t>
  </si>
  <si>
    <t>{jsdata.day[434].absences[1].absenceType}</t>
  </si>
  <si>
    <t>{jsdata.day[435].absences[0].absenceType}</t>
  </si>
  <si>
    <t>{jsdata.day[435].absences[1].absenceType}</t>
  </si>
  <si>
    <t>{jsdata.day[436].absences[0].absenceType}</t>
  </si>
  <si>
    <t>{jsdata.day[436].absences[1].absenceType}</t>
  </si>
  <si>
    <t>{jsdata.day[437].absences[0].absenceType}</t>
  </si>
  <si>
    <t>{jsdata.day[437].absences[1].absenceType}</t>
  </si>
  <si>
    <t>{jsdata.day[438].absences[0].absenceType}</t>
  </si>
  <si>
    <t>{jsdata.day[438].absences[1].absenceType}</t>
  </si>
  <si>
    <t>{jsdata.day[439].absences[0].absenceType}</t>
  </si>
  <si>
    <t>{jsdata.day[439].absences[1].absenceType}</t>
  </si>
  <si>
    <t>{jsdata.day[440].absences[0].absenceType}</t>
  </si>
  <si>
    <t>{jsdata.day[440].absences[1].absenceType}</t>
  </si>
  <si>
    <t>{jsdata.day[441].absences[0].absenceType}</t>
  </si>
  <si>
    <t>{jsdata.day[441].absences[1].absenceType}</t>
  </si>
  <si>
    <t>{jsdata.day[442].absences[0].absenceType}</t>
  </si>
  <si>
    <t>{jsdata.day[442].absences[1].absenceType}</t>
  </si>
  <si>
    <t>{jsdata.day[443].absences[0].absenceType}</t>
  </si>
  <si>
    <t>{jsdata.day[443].absences[1].absenceType}</t>
  </si>
  <si>
    <t>{jsdata.day[444].absences[0].absenceType}</t>
  </si>
  <si>
    <t>{jsdata.day[444].absences[1].absenceType}</t>
  </si>
  <si>
    <t>{jsdata.day[445].absences[0].absenceType}</t>
  </si>
  <si>
    <t>{jsdata.day[445].absences[1].absenceType}</t>
  </si>
  <si>
    <t>{jsdata.day[446].absences[0].absenceType}</t>
  </si>
  <si>
    <t>{jsdata.day[446].absences[1].absenceType}</t>
  </si>
  <si>
    <t>{jsdata.day[447].absences[0].absenceType}</t>
  </si>
  <si>
    <t>{jsdata.day[447].absences[1].absenceType}</t>
  </si>
  <si>
    <t>{jsdata.day[448].absences[0].absenceType}</t>
  </si>
  <si>
    <t>{jsdata.day[448].absences[1].absenceType}</t>
  </si>
  <si>
    <t>{jsdata.day[449].absences[0].absenceType}</t>
  </si>
  <si>
    <t>{jsdata.day[449].absences[1].absenceType}</t>
  </si>
  <si>
    <t>{jsdata.day[450].absences[0].absenceType}</t>
  </si>
  <si>
    <t>{jsdata.day[450].absences[1].absenceType}</t>
  </si>
  <si>
    <t>{jsdata.day[451].absences[0].absenceType}</t>
  </si>
  <si>
    <t>{jsdata.day[451].absences[1].absenceType}</t>
  </si>
  <si>
    <t>{jsdata.day[452].absences[0].absenceType}</t>
  </si>
  <si>
    <t>{jsdata.day[452].absences[1].absenceType}</t>
  </si>
  <si>
    <t>{jsdata.day[453].absences[0].absenceType}</t>
  </si>
  <si>
    <t>{jsdata.day[453].absences[1].absenceType}</t>
  </si>
  <si>
    <t>{jsdata.day[454].absences[0].absenceType}</t>
  </si>
  <si>
    <t>{jsdata.day[454].absences[1].absenceType}</t>
  </si>
  <si>
    <t>{jsdata.day[455].absences[0].absenceType}</t>
  </si>
  <si>
    <t>{jsdata.day[455].absences[1].absenceType}</t>
  </si>
  <si>
    <t>{jsdata.day[456].absences[0].absenceType}</t>
  </si>
  <si>
    <t>{jsdata.day[456].absences[1].absenceType}</t>
  </si>
  <si>
    <t>{jsdata.day[457].absences[0].absenceType}</t>
  </si>
  <si>
    <t>{jsdata.day[457].absences[1].absenceType}</t>
  </si>
  <si>
    <t>{jsdata.day[458].absences[0].absenceType}</t>
  </si>
  <si>
    <t>{jsdata.day[458].absences[1].absenceType}</t>
  </si>
  <si>
    <t>{jsdata.day[459].absences[0].absenceType}</t>
  </si>
  <si>
    <t>{jsdata.day[459].absences[1].absenceType}</t>
  </si>
  <si>
    <t>{jsdata.day[460].absences[0].absenceType}</t>
  </si>
  <si>
    <t>{jsdata.day[460].absences[1].absenceType}</t>
  </si>
  <si>
    <t>{jsdata.day[461].absences[0].absenceType}</t>
  </si>
  <si>
    <t>{jsdata.day[461].absences[1].absenceType}</t>
  </si>
  <si>
    <t>{jsdata.day[462].absences[0].absenceType}</t>
  </si>
  <si>
    <t>{jsdata.day[462].absences[1].absenceType}</t>
  </si>
  <si>
    <t>{jsdata.day[463].absences[0].absenceType}</t>
  </si>
  <si>
    <t>{jsdata.day[463].absences[1].absenceType}</t>
  </si>
  <si>
    <t>{jsdata.day[464].absences[0].absenceType}</t>
  </si>
  <si>
    <t>{jsdata.day[464].absences[1].absenceType}</t>
  </si>
  <si>
    <t>{jsdata.day[465].absences[0].absenceType}</t>
  </si>
  <si>
    <t>{jsdata.day[465].absences[1].absenceType}</t>
  </si>
  <si>
    <t>{jsdata.day[466].absences[0].absenceType}</t>
  </si>
  <si>
    <t>{jsdata.day[466].absences[1].absenceType}</t>
  </si>
  <si>
    <t>{jsdata.day[467].absences[0].absenceType}</t>
  </si>
  <si>
    <t>{jsdata.day[467].absences[1].absenceType}</t>
  </si>
  <si>
    <t>{jsdata.day[468].absences[0].absenceType}</t>
  </si>
  <si>
    <t>{jsdata.day[468].absences[1].absenceType}</t>
  </si>
  <si>
    <t>{jsdata.day[469].absences[0].absenceType}</t>
  </si>
  <si>
    <t>{jsdata.day[469].absences[1].absenceType}</t>
  </si>
  <si>
    <t>{jsdata.day[470].absences[0].absenceType}</t>
  </si>
  <si>
    <t>{jsdata.day[470].absences[1].absenceType}</t>
  </si>
  <si>
    <t>{jsdata.day[471].absences[0].absenceType}</t>
  </si>
  <si>
    <t>{jsdata.day[471].absences[1].absenceType}</t>
  </si>
  <si>
    <t>{jsdata.day[472].absences[0].absenceType}</t>
  </si>
  <si>
    <t>{jsdata.day[472].absences[1].absenceType}</t>
  </si>
  <si>
    <t>{jsdata.day[473].absences[0].absenceType}</t>
  </si>
  <si>
    <t>{jsdata.day[473].absences[1].absenceType}</t>
  </si>
  <si>
    <t>{jsdata.day[474].absences[0].absenceType}</t>
  </si>
  <si>
    <t>{jsdata.day[474].absences[1].absenceType}</t>
  </si>
  <si>
    <t>{jsdata.day[475].absences[0].absenceType}</t>
  </si>
  <si>
    <t>{jsdata.day[475].absences[1].absenceType}</t>
  </si>
  <si>
    <t>{jsdata.day[476].absences[0].absenceType}</t>
  </si>
  <si>
    <t>{jsdata.day[476].absences[1].absenceType}</t>
  </si>
  <si>
    <t>{jsdata.day[477].absences[0].absenceType}</t>
  </si>
  <si>
    <t>{jsdata.day[477].absences[1].absenceType}</t>
  </si>
  <si>
    <t>{jsdata.day[478].absences[0].absenceType}</t>
  </si>
  <si>
    <t>{jsdata.day[478].absences[1].absenceType}</t>
  </si>
  <si>
    <t>{jsdata.day[479].absences[0].absenceType}</t>
  </si>
  <si>
    <t>{jsdata.day[479].absences[1].absenceType}</t>
  </si>
  <si>
    <t>{jsdata.day[480].absences[0].absenceType}</t>
  </si>
  <si>
    <t>{jsdata.day[480].absences[1].absenceType}</t>
  </si>
  <si>
    <t>{jsdata.day[481].absences[0].absenceType}</t>
  </si>
  <si>
    <t>{jsdata.day[481].absences[1].absenceType}</t>
  </si>
  <si>
    <t>{jsdata.day[482].absences[0].absenceType}</t>
  </si>
  <si>
    <t>{jsdata.day[482].absences[1].absenceType}</t>
  </si>
  <si>
    <t>{jsdata.day[483].absences[0].absenceType}</t>
  </si>
  <si>
    <t>{jsdata.day[483].absences[1].absenceType}</t>
  </si>
  <si>
    <t>{jsdata.day[484].absences[0].absenceType}</t>
  </si>
  <si>
    <t>{jsdata.day[484].absences[1].absenceType}</t>
  </si>
  <si>
    <t>{jsdata.day[485].absences[0].absenceType}</t>
  </si>
  <si>
    <t>{jsdata.day[485].absences[1].absenceType}</t>
  </si>
  <si>
    <t>{jsdata.day[486].absences[0].absenceType}</t>
  </si>
  <si>
    <t>{jsdata.day[486].absences[1].absenceType}</t>
  </si>
  <si>
    <t>{jsdata.day[487].absences[0].absenceType}</t>
  </si>
  <si>
    <t>{jsdata.day[487].absences[1].absenceType}</t>
  </si>
  <si>
    <t>{jsdata.day[488].absences[0].absenceType}</t>
  </si>
  <si>
    <t>{jsdata.day[488].absences[1].absenceType}</t>
  </si>
  <si>
    <t>{jsdata.day[489].absences[0].absenceType}</t>
  </si>
  <si>
    <t>{jsdata.day[489].absences[1].absenceType}</t>
  </si>
  <si>
    <t>{jsdata.day[490].absences[0].absenceType}</t>
  </si>
  <si>
    <t>{jsdata.day[490].absences[1].absenceType}</t>
  </si>
  <si>
    <t>{jsdata.day[491].absences[0].absenceType}</t>
  </si>
  <si>
    <t>{jsdata.day[491].absences[1].absenceType}</t>
  </si>
  <si>
    <t>{jsdata.day[492].absences[0].absenceType}</t>
  </si>
  <si>
    <t>{jsdata.day[492].absences[1].absenceType}</t>
  </si>
  <si>
    <t>{jsdata.day[493].absences[0].absenceType}</t>
  </si>
  <si>
    <t>{jsdata.day[493].absences[1].absenceType}</t>
  </si>
  <si>
    <t>{jsdata.day[494].absences[0].absenceType}</t>
  </si>
  <si>
    <t>{jsdata.day[494].absences[1].absenceType}</t>
  </si>
  <si>
    <t>{jsdata.day[495].absences[0].absenceType}</t>
  </si>
  <si>
    <t>{jsdata.day[495].absences[1].absenceType}</t>
  </si>
  <si>
    <t>{jsdata.day[496].absences[0].absenceType}</t>
  </si>
  <si>
    <t>{jsdata.day[496].absences[1].absenceType}</t>
  </si>
  <si>
    <t>{jsdata.day[497].absences[0].absenceType}</t>
  </si>
  <si>
    <t>{jsdata.day[497].absences[1].absenceType}</t>
  </si>
  <si>
    <t>{jsdata.day[498].absences[0].absenceType}</t>
  </si>
  <si>
    <t>{jsdata.day[498].absences[1].absenceType}</t>
  </si>
  <si>
    <t>{jsdata.day[499].absences[0].absenceType}</t>
  </si>
  <si>
    <t>{jsdata.day[499].absences[1].absenceType}</t>
  </si>
  <si>
    <t>{jsdata.day[500].absences[0].absenceType}</t>
  </si>
  <si>
    <t>{jsdata.day[500].absences[1].absenceType}</t>
  </si>
  <si>
    <t>{jsdata.day[501].absences[0].absenceType}</t>
  </si>
  <si>
    <t>{jsdata.day[501].absences[1].absenceType}</t>
  </si>
  <si>
    <t>{jsdata.day[502].absences[0].absenceType}</t>
  </si>
  <si>
    <t>{jsdata.day[502].absences[1].absenceType}</t>
  </si>
  <si>
    <t>{jsdata.day[503].absences[0].absenceType}</t>
  </si>
  <si>
    <t>{jsdata.day[503].absences[1].absenceType}</t>
  </si>
  <si>
    <t>{jsdata.day[504].absences[0].absenceType}</t>
  </si>
  <si>
    <t>{jsdata.day[504].absences[1].absenceType}</t>
  </si>
  <si>
    <t>{jsdata.day[505].absences[0].absenceType}</t>
  </si>
  <si>
    <t>{jsdata.day[505].absences[1].absenceType}</t>
  </si>
  <si>
    <t>{jsdata.day[506].absences[0].absenceType}</t>
  </si>
  <si>
    <t>{jsdata.day[506].absences[1].absenceType}</t>
  </si>
  <si>
    <t>{jsdata.day[507].absences[0].absenceType}</t>
  </si>
  <si>
    <t>{jsdata.day[507].absences[1].absenceType}</t>
  </si>
  <si>
    <t>{jsdata.day[508].absences[0].absenceType}</t>
  </si>
  <si>
    <t>{jsdata.day[508].absences[1].absenceType}</t>
  </si>
  <si>
    <t>{jsdata.day[509].absences[0].absenceType}</t>
  </si>
  <si>
    <t>{jsdata.day[509].absences[1].absenceType}</t>
  </si>
  <si>
    <t>{jsdata.day[510].absences[0].absenceType}</t>
  </si>
  <si>
    <t>{jsdata.day[510].absences[1].absenceType}</t>
  </si>
  <si>
    <t>{jsdata.day[511].absences[0].absenceType}</t>
  </si>
  <si>
    <t>{jsdata.day[511].absences[1].absenceType}</t>
  </si>
  <si>
    <t>{jsdata.day[512].absences[0].absenceType}</t>
  </si>
  <si>
    <t>{jsdata.day[512].absences[1].absenceType}</t>
  </si>
  <si>
    <t>{jsdata.day[513].absences[0].absenceType}</t>
  </si>
  <si>
    <t>{jsdata.day[513].absences[1].absenceType}</t>
  </si>
  <si>
    <t>{jsdata.day[514].absences[0].absenceType}</t>
  </si>
  <si>
    <t>{jsdata.day[514].absences[1].absenceType}</t>
  </si>
  <si>
    <t>{jsdata.day[515].absences[0].absenceType}</t>
  </si>
  <si>
    <t>{jsdata.day[515].absences[1].absenceType}</t>
  </si>
  <si>
    <t>{jsdata.day[516].absences[0].absenceType}</t>
  </si>
  <si>
    <t>{jsdata.day[516].absences[1].absenceType}</t>
  </si>
  <si>
    <t>{jsdata.day[517].absences[0].absenceType}</t>
  </si>
  <si>
    <t>{jsdata.day[517].absences[1].absenceType}</t>
  </si>
  <si>
    <t>{jsdata.day[518].absences[0].absenceType}</t>
  </si>
  <si>
    <t>{jsdata.day[518].absences[1].absenceType}</t>
  </si>
  <si>
    <t>{jsdata.day[519].absences[0].absenceType}</t>
  </si>
  <si>
    <t>{jsdata.day[519].absences[1].absenceType}</t>
  </si>
  <si>
    <t>{jsdata.day[520].absences[0].absenceType}</t>
  </si>
  <si>
    <t>{jsdata.day[520].absences[1].absenceType}</t>
  </si>
  <si>
    <t>{jsdata.day[521].absences[0].absenceType}</t>
  </si>
  <si>
    <t>{jsdata.day[521].absences[1].absenceType}</t>
  </si>
  <si>
    <t>{jsdata.day[522].absences[0].absenceType}</t>
  </si>
  <si>
    <t>{jsdata.day[522].absences[1].absenceType}</t>
  </si>
  <si>
    <t>{jsdata.day[523].absences[0].absenceType}</t>
  </si>
  <si>
    <t>{jsdata.day[523].absences[1].absenceType}</t>
  </si>
  <si>
    <t>{jsdata.day[524].absences[0].absenceType}</t>
  </si>
  <si>
    <t>{jsdata.day[524].absences[1].absenceType}</t>
  </si>
  <si>
    <t>{jsdata.day[525].absences[0].absenceType}</t>
  </si>
  <si>
    <t>{jsdata.day[525].absences[1].absenceType}</t>
  </si>
  <si>
    <t>{jsdata.day[526].absences[0].absenceType}</t>
  </si>
  <si>
    <t>{jsdata.day[526].absences[1].absenceType}</t>
  </si>
  <si>
    <t>{jsdata.day[527].absences[0].absenceType}</t>
  </si>
  <si>
    <t>{jsdata.day[527].absences[1].absenceType}</t>
  </si>
  <si>
    <t>{jsdata.day[528].absences[0].absenceType}</t>
  </si>
  <si>
    <t>{jsdata.day[528].absences[1].absenceType}</t>
  </si>
  <si>
    <t>{jsdata.day[529].absences[0].absenceType}</t>
  </si>
  <si>
    <t>{jsdata.day[529].absences[1].absenceType}</t>
  </si>
  <si>
    <t>{jsdata.day[530].absences[0].absenceType}</t>
  </si>
  <si>
    <t>{jsdata.day[530].absences[1].absenceType}</t>
  </si>
  <si>
    <t>{jsdata.day[531].absences[0].absenceType}</t>
  </si>
  <si>
    <t>{jsdata.day[531].absences[1].absenceType}</t>
  </si>
  <si>
    <t>{jsdata.day[532].absences[0].absenceType}</t>
  </si>
  <si>
    <t>{jsdata.day[532].absences[1].absenceType}</t>
  </si>
  <si>
    <t>{jsdata.day[533].absences[0].absenceType}</t>
  </si>
  <si>
    <t>{jsdata.day[533].absences[1].absenceType}</t>
  </si>
  <si>
    <t>{jsdata.day[534].absences[0].absenceType}</t>
  </si>
  <si>
    <t>{jsdata.day[534].absences[1].absenceType}</t>
  </si>
  <si>
    <t>{jsdata.day[535].absences[0].absenceType}</t>
  </si>
  <si>
    <t>{jsdata.day[535].absences[1].absenceType}</t>
  </si>
  <si>
    <t>{jsdata.day[536].absences[0].absenceType}</t>
  </si>
  <si>
    <t>{jsdata.day[536].absences[1].absenceType}</t>
  </si>
  <si>
    <t>{jsdata.day[537].absences[0].absenceType}</t>
  </si>
  <si>
    <t>{jsdata.day[537].absences[1].absenceType}</t>
  </si>
  <si>
    <t>{jsdata.day[538].absences[0].absenceType}</t>
  </si>
  <si>
    <t>{jsdata.day[538].absences[1].absenceType}</t>
  </si>
  <si>
    <t>{jsdata.day[539].absences[0].absenceType}</t>
  </si>
  <si>
    <t>{jsdata.day[539].absences[1].absenceType}</t>
  </si>
  <si>
    <t>{jsdata.day[540].absences[0].absenceType}</t>
  </si>
  <si>
    <t>{jsdata.day[540].absences[1].absenceType}</t>
  </si>
  <si>
    <t>{jsdata.day[541].absences[0].absenceType}</t>
  </si>
  <si>
    <t>{jsdata.day[541].absences[1].absenceType}</t>
  </si>
  <si>
    <t>{jsdata.day[542].absences[0].absenceType}</t>
  </si>
  <si>
    <t>{jsdata.day[542].absences[1].absenceType}</t>
  </si>
  <si>
    <t>{jsdata.day[543].absences[0].absenceType}</t>
  </si>
  <si>
    <t>{jsdata.day[543].absences[1].absenceType}</t>
  </si>
  <si>
    <t>{jsdata.day[544].absences[0].absenceType}</t>
  </si>
  <si>
    <t>{jsdata.day[544].absences[1].absenceType}</t>
  </si>
  <si>
    <t>{jsdata.day[545].absences[0].absenceType}</t>
  </si>
  <si>
    <t>{jsdata.day[545].absences[1].absenceType}</t>
  </si>
  <si>
    <t>{jsdata.day[546].absences[0].absenceType}</t>
  </si>
  <si>
    <t>{jsdata.day[546].absences[1].absenceType}</t>
  </si>
  <si>
    <t>{jsdata.day[547].absences[0].absenceType}</t>
  </si>
  <si>
    <t>{jsdata.day[547].absences[1].absenceType}</t>
  </si>
  <si>
    <t>{jsdata.day[548].absences[0].absenceType}</t>
  </si>
  <si>
    <t>{jsdata.day[548].absences[1].absenceType}</t>
  </si>
  <si>
    <t>{jsdata.day[549].absences[0].absenceType}</t>
  </si>
  <si>
    <t>{jsdata.day[549].absences[1].absenceType}</t>
  </si>
  <si>
    <t>{jsdata.day[550].absences[0].absenceType}</t>
  </si>
  <si>
    <t>{jsdata.day[550].absences[1].absenceType}</t>
  </si>
  <si>
    <t>{jsdata.day[551].absences[0].absenceType}</t>
  </si>
  <si>
    <t>{jsdata.day[551].absences[1].absenceType}</t>
  </si>
  <si>
    <t>{jsdata.day[552].absences[0].absenceType}</t>
  </si>
  <si>
    <t>{jsdata.day[552].absences[1].absenceType}</t>
  </si>
  <si>
    <t>{jsdata.day[553].absences[0].absenceType}</t>
  </si>
  <si>
    <t>{jsdata.day[553].absences[1].absenceType}</t>
  </si>
  <si>
    <t>{jsdata.day[554].absences[0].absenceType}</t>
  </si>
  <si>
    <t>{jsdata.day[554].absences[1].absenceType}</t>
  </si>
  <si>
    <t>{jsdata.day[555].absences[0].absenceType}</t>
  </si>
  <si>
    <t>{jsdata.day[555].absences[1].absenceType}</t>
  </si>
  <si>
    <t>{jsdata.day[556].absences[0].absenceType}</t>
  </si>
  <si>
    <t>{jsdata.day[556].absences[1].absenceType}</t>
  </si>
  <si>
    <t>{jsdata.day[557].absences[0].absenceType}</t>
  </si>
  <si>
    <t>{jsdata.day[557].absences[1].absenceType}</t>
  </si>
  <si>
    <t>{jsdata.day[558].absences[0].absenceType}</t>
  </si>
  <si>
    <t>{jsdata.day[558].absences[1].absenceType}</t>
  </si>
  <si>
    <t>{jsdata.day[559].absences[0].absenceType}</t>
  </si>
  <si>
    <t>{jsdata.day[559].absences[1].absenceType}</t>
  </si>
  <si>
    <t>{jsdata.day[560].absences[0].absenceType}</t>
  </si>
  <si>
    <t>{jsdata.day[560].absences[1].absenceType}</t>
  </si>
  <si>
    <t>{jsdata.day[561].absences[0].absenceType}</t>
  </si>
  <si>
    <t>{jsdata.day[561].absences[1].absenceType}</t>
  </si>
  <si>
    <t>{jsdata.day[562].absences[0].absenceType}</t>
  </si>
  <si>
    <t>{jsdata.day[562].absences[1].absenceType}</t>
  </si>
  <si>
    <t>{jsdata.day[563].absences[0].absenceType}</t>
  </si>
  <si>
    <t>{jsdata.day[563].absences[1].absenceType}</t>
  </si>
  <si>
    <t>{jsdata.day[564].absences[0].absenceType}</t>
  </si>
  <si>
    <t>{jsdata.day[564].absences[1].absenceType}</t>
  </si>
  <si>
    <t>{jsdata.day[565].absences[0].absenceType}</t>
  </si>
  <si>
    <t>{jsdata.day[565].absences[1].absenceType}</t>
  </si>
  <si>
    <t>{jsdata.day[566].absences[0].absenceType}</t>
  </si>
  <si>
    <t>{jsdata.day[566].absences[1].absenceType}</t>
  </si>
  <si>
    <t>{jsdata.day[567].absences[0].absenceType}</t>
  </si>
  <si>
    <t>{jsdata.day[567].absences[1].absenceType}</t>
  </si>
  <si>
    <t>{jsdata.day[568].absences[0].absenceType}</t>
  </si>
  <si>
    <t>{jsdata.day[568].absences[1].absenceType}</t>
  </si>
  <si>
    <t>{jsdata.day[569].absences[0].absenceType}</t>
  </si>
  <si>
    <t>{jsdata.day[569].absences[1].absenceType}</t>
  </si>
  <si>
    <t>{jsdata.day[570].absences[0].absenceType}</t>
  </si>
  <si>
    <t>{jsdata.day[570].absences[1].absenceType}</t>
  </si>
  <si>
    <t>{jsdata.day[571].absences[0].absenceType}</t>
  </si>
  <si>
    <t>{jsdata.day[571].absences[1].absenceType}</t>
  </si>
  <si>
    <t>{jsdata.day[572].absences[0].absenceType}</t>
  </si>
  <si>
    <t>{jsdata.day[572].absences[1].absenceType}</t>
  </si>
  <si>
    <t>{jsdata.day[573].absences[0].absenceType}</t>
  </si>
  <si>
    <t>{jsdata.day[573].absences[1].absenceType}</t>
  </si>
  <si>
    <t>{jsdata.day[574].absences[0].absenceType}</t>
  </si>
  <si>
    <t>{jsdata.day[574].absences[1].absenceType}</t>
  </si>
  <si>
    <t>{jsdata.day[575].absences[0].absenceType}</t>
  </si>
  <si>
    <t>{jsdata.day[575].absences[1].absenceType}</t>
  </si>
  <si>
    <t>{jsdata.day[576].absences[0].absenceType}</t>
  </si>
  <si>
    <t>{jsdata.day[576].absences[1].absenceType}</t>
  </si>
  <si>
    <t>{jsdata.day[577].absences[0].absenceType}</t>
  </si>
  <si>
    <t>{jsdata.day[577].absences[1].absenceType}</t>
  </si>
  <si>
    <t>{jsdata.day[578].absences[0].absenceType}</t>
  </si>
  <si>
    <t>{jsdata.day[578].absences[1].absenceType}</t>
  </si>
  <si>
    <t>{jsdata.day[579].absences[0].absenceType}</t>
  </si>
  <si>
    <t>{jsdata.day[579].absences[1].absenceType}</t>
  </si>
  <si>
    <t>{jsdata.day[580].absences[0].absenceType}</t>
  </si>
  <si>
    <t>{jsdata.day[580].absences[1].absenceType}</t>
  </si>
  <si>
    <t>{jsdata.day[581].absences[0].absenceType}</t>
  </si>
  <si>
    <t>{jsdata.day[581].absences[1].absenceType}</t>
  </si>
  <si>
    <t>{jsdata.day[582].absences[0].absenceType}</t>
  </si>
  <si>
    <t>{jsdata.day[582].absences[1].absenceType}</t>
  </si>
  <si>
    <t>{jsdata.day[583].absences[0].absenceType}</t>
  </si>
  <si>
    <t>{jsdata.day[583].absences[1].absenceType}</t>
  </si>
  <si>
    <t>{jsdata.day[584].absences[0].absenceType}</t>
  </si>
  <si>
    <t>{jsdata.day[584].absences[1].absenceType}</t>
  </si>
  <si>
    <t>{jsdata.day[585].absences[0].absenceType}</t>
  </si>
  <si>
    <t>{jsdata.day[585].absences[1].absenceType}</t>
  </si>
  <si>
    <t>{jsdata.day[586].absences[0].absenceType}</t>
  </si>
  <si>
    <t>{jsdata.day[586].absences[1].absenceType}</t>
  </si>
  <si>
    <t>{jsdata.day[587].absences[0].absenceType}</t>
  </si>
  <si>
    <t>{jsdata.day[587].absences[1].absenceType}</t>
  </si>
  <si>
    <t>{jsdata.day[588].absences[0].absenceType}</t>
  </si>
  <si>
    <t>{jsdata.day[588].absences[1].absenceType}</t>
  </si>
  <si>
    <t>{jsdata.day[589].absences[0].absenceType}</t>
  </si>
  <si>
    <t>{jsdata.day[589].absences[1].absenceType}</t>
  </si>
  <si>
    <t>{jsdata.day[590].absences[0].absenceType}</t>
  </si>
  <si>
    <t>{jsdata.day[590].absences[1].absenceType}</t>
  </si>
  <si>
    <t>{jsdata.day[591].absences[0].absenceType}</t>
  </si>
  <si>
    <t>{jsdata.day[591].absences[1].absenceType}</t>
  </si>
  <si>
    <t>{jsdata.day[592].absences[0].absenceType}</t>
  </si>
  <si>
    <t>{jsdata.day[592].absences[1].absenceType}</t>
  </si>
  <si>
    <t>{jsdata.day[593].absences[0].absenceType}</t>
  </si>
  <si>
    <t>{jsdata.day[593].absences[1].absenceType}</t>
  </si>
  <si>
    <t>{jsdata.day[594].absences[0].absenceType}</t>
  </si>
  <si>
    <t>{jsdata.day[594].absences[1].absenceType}</t>
  </si>
  <si>
    <t>{jsdata.day[595].absences[0].absenceType}</t>
  </si>
  <si>
    <t>{jsdata.day[595].absences[1].absenceType}</t>
  </si>
  <si>
    <t>{jsdata.day[596].absences[0].absenceType}</t>
  </si>
  <si>
    <t>{jsdata.day[596].absences[1].absenceType}</t>
  </si>
  <si>
    <t>{jsdata.day[597].absences[0].absenceType}</t>
  </si>
  <si>
    <t>{jsdata.day[597].absences[1].absenceType}</t>
  </si>
  <si>
    <t>{jsdata.day[598].absences[0].absenceType}</t>
  </si>
  <si>
    <t>{jsdata.day[598].absences[1].absenceType}</t>
  </si>
  <si>
    <t>{jsdata.day[599].absences[0].absenceType}</t>
  </si>
  <si>
    <t>{jsdata.day[599].absences[1].absenceType}</t>
  </si>
  <si>
    <t>{jsdata.day[600].absences[0].absenceType}</t>
  </si>
  <si>
    <t>{jsdata.day[600].absences[1].absenceType}</t>
  </si>
  <si>
    <t>{jsdata.day[601].absences[0].absenceType}</t>
  </si>
  <si>
    <t>{jsdata.day[601].absences[1].absenceType}</t>
  </si>
  <si>
    <t>{jsdata.day[602].absences[0].absenceType}</t>
  </si>
  <si>
    <t>{jsdata.day[602].absences[1].absenceType}</t>
  </si>
  <si>
    <t>{jsdata.day[603].absences[0].absenceType}</t>
  </si>
  <si>
    <t>{jsdata.day[603].absences[1].absenceType}</t>
  </si>
  <si>
    <t>{jsdata.day[604].absences[0].absenceType}</t>
  </si>
  <si>
    <t>{jsdata.day[604].absences[1].absenceType}</t>
  </si>
  <si>
    <t>{jsdata.day[605].absences[0].absenceType}</t>
  </si>
  <si>
    <t>{jsdata.day[605].absences[1].absenceType}</t>
  </si>
  <si>
    <t>{jsdata.day[606].absences[0].absenceType}</t>
  </si>
  <si>
    <t>{jsdata.day[606].absences[1].absenceType}</t>
  </si>
  <si>
    <t>{jsdata.day[607].absences[0].absenceType}</t>
  </si>
  <si>
    <t>{jsdata.day[607].absences[1].absenceType}</t>
  </si>
  <si>
    <t>{jsdata.day[608].absences[0].absenceType}</t>
  </si>
  <si>
    <t>{jsdata.day[608].absences[1].absenceType}</t>
  </si>
  <si>
    <t>{jsdata.day[609].absences[0].absenceType}</t>
  </si>
  <si>
    <t>{jsdata.day[609].absences[1].absenceType}</t>
  </si>
  <si>
    <t>{jsdata.day[610].absences[0].absenceType}</t>
  </si>
  <si>
    <t>{jsdata.day[610].absences[1].absenceType}</t>
  </si>
  <si>
    <t>{jsdata.day[611].absences[0].absenceType}</t>
  </si>
  <si>
    <t>{jsdata.day[611].absences[1].absenceType}</t>
  </si>
  <si>
    <t>{jsdata.day[612].absences[0].absenceType}</t>
  </si>
  <si>
    <t>{jsdata.day[612].absences[1].absenceType}</t>
  </si>
  <si>
    <t>{jsdata.day[613].absences[0].absenceType}</t>
  </si>
  <si>
    <t>{jsdata.day[613].absences[1].absenceType}</t>
  </si>
  <si>
    <t>{jsdata.day[614].absences[0].absenceType}</t>
  </si>
  <si>
    <t>{jsdata.day[614].absences[1].absenceType}</t>
  </si>
  <si>
    <t>{jsdata.day[615].absences[0].absenceType}</t>
  </si>
  <si>
    <t>{jsdata.day[615].absences[1].absenceType}</t>
  </si>
  <si>
    <t>{jsdata.day[616].absences[0].absenceType}</t>
  </si>
  <si>
    <t>{jsdata.day[616].absences[1].absenceType}</t>
  </si>
  <si>
    <t>{jsdata.day[617].absences[0].absenceType}</t>
  </si>
  <si>
    <t>{jsdata.day[617].absences[1].absenceType}</t>
  </si>
  <si>
    <t>{jsdata.day[618].absences[0].absenceType}</t>
  </si>
  <si>
    <t>{jsdata.day[618].absences[1].absenceType}</t>
  </si>
  <si>
    <t>{jsdata.day[619].absences[0].absenceType}</t>
  </si>
  <si>
    <t>{jsdata.day[619].absences[1].absenceType}</t>
  </si>
  <si>
    <t>{jsdata.day[620].absences[0].absenceType}</t>
  </si>
  <si>
    <t>{jsdata.day[620].absences[1].absenceType}</t>
  </si>
  <si>
    <t>{jsdata.day[621].absences[0].absenceType}</t>
  </si>
  <si>
    <t>{jsdata.day[621].absences[1].absenceType}</t>
  </si>
  <si>
    <t>{jsdata.day[622].absences[0].absenceType}</t>
  </si>
  <si>
    <t>{jsdata.day[622].absences[1].absenceType}</t>
  </si>
  <si>
    <t>{jsdata.day[623].absences[0].absenceType}</t>
  </si>
  <si>
    <t>{jsdata.day[623].absences[1].absenceType}</t>
  </si>
  <si>
    <t>{jsdata.day[624].absences[0].absenceType}</t>
  </si>
  <si>
    <t>{jsdata.day[624].absences[1].absenceType}</t>
  </si>
  <si>
    <t>{jsdata.day[625].absences[0].absenceType}</t>
  </si>
  <si>
    <t>{jsdata.day[625].absences[1].absenceType}</t>
  </si>
  <si>
    <t>{jsdata.day[626].absences[0].absenceType}</t>
  </si>
  <si>
    <t>{jsdata.day[626].absences[1].absenceType}</t>
  </si>
  <si>
    <t>{jsdata.day[627].absences[0].absenceType}</t>
  </si>
  <si>
    <t>{jsdata.day[627].absences[1].absenceType}</t>
  </si>
  <si>
    <t>{jsdata.day[628].absences[0].absenceType}</t>
  </si>
  <si>
    <t>{jsdata.day[628].absences[1].absenceType}</t>
  </si>
  <si>
    <t>{jsdata.day[629].absences[0].absenceType}</t>
  </si>
  <si>
    <t>{jsdata.day[629].absences[1].absenceType}</t>
  </si>
  <si>
    <t>{jsdata.day[630].absences[0].absenceType}</t>
  </si>
  <si>
    <t>{jsdata.day[630].absences[1].absenceType}</t>
  </si>
  <si>
    <t>{jsdata.day[631].absences[0].absenceType}</t>
  </si>
  <si>
    <t>{jsdata.day[631].absences[1].absenceType}</t>
  </si>
  <si>
    <t>{jsdata.day[632].absences[0].absenceType}</t>
  </si>
  <si>
    <t>{jsdata.day[632].absences[1].absenceType}</t>
  </si>
  <si>
    <t>{jsdata.day[633].absences[0].absenceType}</t>
  </si>
  <si>
    <t>{jsdata.day[633].absences[1].absenceType}</t>
  </si>
  <si>
    <t>{jsdata.day[634].absences[0].absenceType}</t>
  </si>
  <si>
    <t>{jsdata.day[634].absences[1].absenceType}</t>
  </si>
  <si>
    <t>{jsdata.day[635].absences[0].absenceType}</t>
  </si>
  <si>
    <t>{jsdata.day[635].absences[1].absenceType}</t>
  </si>
  <si>
    <t>{jsdata.day[636].absences[0].absenceType}</t>
  </si>
  <si>
    <t>{jsdata.day[636].absences[1].absenceType}</t>
  </si>
  <si>
    <t>{jsdata.day[637].absences[0].absenceType}</t>
  </si>
  <si>
    <t>{jsdata.day[637].absences[1].absenceType}</t>
  </si>
  <si>
    <t>{jsdata.day[638].absences[0].absenceType}</t>
  </si>
  <si>
    <t>{jsdata.day[638].absences[1].absenceType}</t>
  </si>
  <si>
    <t>{jsdata.day[639].absences[0].absenceType}</t>
  </si>
  <si>
    <t>{jsdata.day[639].absences[1].absenceType}</t>
  </si>
  <si>
    <t>{jsdata.day[640].absences[0].absenceType}</t>
  </si>
  <si>
    <t>{jsdata.day[640].absences[1].absenceType}</t>
  </si>
  <si>
    <t>{jsdata.day[641].absences[0].absenceType}</t>
  </si>
  <si>
    <t>{jsdata.day[641].absences[1].absenceType}</t>
  </si>
  <si>
    <t>{jsdata.day[642].absences[0].absenceType}</t>
  </si>
  <si>
    <t>{jsdata.day[642].absences[1].absenceType}</t>
  </si>
  <si>
    <t>{jsdata.day[643].absences[0].absenceType}</t>
  </si>
  <si>
    <t>{jsdata.day[643].absences[1].absenceType}</t>
  </si>
  <si>
    <t>{jsdata.day[644].absences[0].absenceType}</t>
  </si>
  <si>
    <t>{jsdata.day[644].absences[1].absenceType}</t>
  </si>
  <si>
    <t>{jsdata.day[645].absences[0].absenceType}</t>
  </si>
  <si>
    <t>{jsdata.day[645].absences[1].absenceType}</t>
  </si>
  <si>
    <t>{jsdata.day[646].absences[0].absenceType}</t>
  </si>
  <si>
    <t>{jsdata.day[646].absences[1].absenceType}</t>
  </si>
  <si>
    <t>{jsdata.day[647].absences[0].absenceType}</t>
  </si>
  <si>
    <t>{jsdata.day[647].absences[1].absenceType}</t>
  </si>
  <si>
    <t>{jsdata.day[648].absences[0].absenceType}</t>
  </si>
  <si>
    <t>{jsdata.day[648].absences[1].absenceType}</t>
  </si>
  <si>
    <t>{jsdata.day[649].absences[0].absenceType}</t>
  </si>
  <si>
    <t>{jsdata.day[649].absences[1].absenceType}</t>
  </si>
  <si>
    <t>{jsdata.day[650].absences[0].absenceType}</t>
  </si>
  <si>
    <t>{jsdata.day[650].absences[1].absenceType}</t>
  </si>
  <si>
    <t>{jsdata.day[651].absences[0].absenceType}</t>
  </si>
  <si>
    <t>{jsdata.day[651].absences[1].absenceType}</t>
  </si>
  <si>
    <t>{jsdata.day[652].absences[0].absenceType}</t>
  </si>
  <si>
    <t>{jsdata.day[652].absences[1].absenceType}</t>
  </si>
  <si>
    <t>{jsdata.day[653].absences[0].absenceType}</t>
  </si>
  <si>
    <t>{jsdata.day[653].absences[1].absenceType}</t>
  </si>
  <si>
    <t>{jsdata.day[654].absences[0].absenceType}</t>
  </si>
  <si>
    <t>{jsdata.day[654].absences[1].absenceType}</t>
  </si>
  <si>
    <t>{jsdata.day[655].absences[0].absenceType}</t>
  </si>
  <si>
    <t>{jsdata.day[655].absences[1].absenceType}</t>
  </si>
  <si>
    <t>{jsdata.day[656].absences[0].absenceType}</t>
  </si>
  <si>
    <t>{jsdata.day[656].absences[1].absenceType}</t>
  </si>
  <si>
    <t>{jsdata.day[657].absences[0].absenceType}</t>
  </si>
  <si>
    <t>{jsdata.day[657].absences[1].absenceType}</t>
  </si>
  <si>
    <t>{jsdata.day[658].absences[0].absenceType}</t>
  </si>
  <si>
    <t>{jsdata.day[658].absences[1].absenceType}</t>
  </si>
  <si>
    <t>{jsdata.day[659].absences[0].absenceType}</t>
  </si>
  <si>
    <t>{jsdata.day[659].absences[1].absenceType}</t>
  </si>
  <si>
    <t>{jsdata.day[660].absences[0].absenceType}</t>
  </si>
  <si>
    <t>{jsdata.day[660].absences[1].absenceType}</t>
  </si>
  <si>
    <t>{jsdata.day[661].absences[0].absenceType}</t>
  </si>
  <si>
    <t>{jsdata.day[661].absences[1].absenceType}</t>
  </si>
  <si>
    <t>{jsdata.day[662].absences[0].absenceType}</t>
  </si>
  <si>
    <t>{jsdata.day[662].absences[1].absenceType}</t>
  </si>
  <si>
    <t>{jsdata.day[663].absences[0].absenceType}</t>
  </si>
  <si>
    <t>{jsdata.day[663].absences[1].absenceType}</t>
  </si>
  <si>
    <t>{jsdata.day[664].absences[0].absenceType}</t>
  </si>
  <si>
    <t>{jsdata.day[664].absences[1].absenceType}</t>
  </si>
  <si>
    <t>{jsdata.day[665].absences[0].absenceType}</t>
  </si>
  <si>
    <t>{jsdata.day[665].absences[1].absenceType}</t>
  </si>
  <si>
    <t>{jsdata.day[666].absences[0].absenceType}</t>
  </si>
  <si>
    <t>{jsdata.day[666].absences[1].absenceType}</t>
  </si>
  <si>
    <t>{jsdata.day[667].absences[0].absenceType}</t>
  </si>
  <si>
    <t>{jsdata.day[667].absences[1].absenceType}</t>
  </si>
  <si>
    <t>{jsdata.day[668].absences[0].absenceType}</t>
  </si>
  <si>
    <t>{jsdata.day[668].absences[1].absenceType}</t>
  </si>
  <si>
    <t>{jsdata.day[669].absences[0].absenceType}</t>
  </si>
  <si>
    <t>{jsdata.day[669].absences[1].absenceType}</t>
  </si>
  <si>
    <t>{jsdata.day[670].absences[0].absenceType}</t>
  </si>
  <si>
    <t>{jsdata.day[670].absences[1].absenceType}</t>
  </si>
  <si>
    <t>{jsdata.day[671].absences[0].absenceType}</t>
  </si>
  <si>
    <t>{jsdata.day[671].absences[1].absenceType}</t>
  </si>
  <si>
    <t>{jsdata.day[672].absences[0].absenceType}</t>
  </si>
  <si>
    <t>{jsdata.day[672].absences[1].absenceType}</t>
  </si>
  <si>
    <t>{jsdata.day[673].absences[0].absenceType}</t>
  </si>
  <si>
    <t>{jsdata.day[673].absences[1].absenceType}</t>
  </si>
  <si>
    <t>{jsdata.day[674].absences[0].absenceType}</t>
  </si>
  <si>
    <t>{jsdata.day[674].absences[1].absenceType}</t>
  </si>
  <si>
    <t>{jsdata.day[675].absences[0].absenceType}</t>
  </si>
  <si>
    <t>{jsdata.day[675].absences[1].absenceType}</t>
  </si>
  <si>
    <t>{jsdata.day[676].absences[0].absenceType}</t>
  </si>
  <si>
    <t>{jsdata.day[676].absences[1].absenceType}</t>
  </si>
  <si>
    <t>{jsdata.day[677].absences[0].absenceType}</t>
  </si>
  <si>
    <t>{jsdata.day[677].absences[1].absenceType}</t>
  </si>
  <si>
    <t>{jsdata.day[678].absences[0].absenceType}</t>
  </si>
  <si>
    <t>{jsdata.day[678].absences[1].absenceType}</t>
  </si>
  <si>
    <t>{jsdata.day[679].absences[0].absenceType}</t>
  </si>
  <si>
    <t>{jsdata.day[679].absences[1].absenceType}</t>
  </si>
  <si>
    <t>{jsdata.day[680].absences[0].absenceType}</t>
  </si>
  <si>
    <t>{jsdata.day[680].absences[1].absenceType}</t>
  </si>
  <si>
    <t>{jsdata.day[681].absences[0].absenceType}</t>
  </si>
  <si>
    <t>{jsdata.day[681].absences[1].absenceType}</t>
  </si>
  <si>
    <t>{jsdata.day[682].absences[0].absenceType}</t>
  </si>
  <si>
    <t>{jsdata.day[682].absences[1].absenceType}</t>
  </si>
  <si>
    <t>{jsdata.day[683].absences[0].absenceType}</t>
  </si>
  <si>
    <t>{jsdata.day[683].absences[1].absenceType}</t>
  </si>
  <si>
    <t>{jsdata.day[684].absences[0].absenceType}</t>
  </si>
  <si>
    <t>{jsdata.day[684].absences[1].absenceType}</t>
  </si>
  <si>
    <t>{jsdata.day[685].absences[0].absenceType}</t>
  </si>
  <si>
    <t>{jsdata.day[685].absences[1].absenceType}</t>
  </si>
  <si>
    <t>{jsdata.day[686].absences[0].absenceType}</t>
  </si>
  <si>
    <t>{jsdata.day[686].absences[1].absenceType}</t>
  </si>
  <si>
    <t>{jsdata.day[687].absences[0].absenceType}</t>
  </si>
  <si>
    <t>{jsdata.day[687].absences[1].absenceType}</t>
  </si>
  <si>
    <t>{jsdata.day[688].absences[0].absenceType}</t>
  </si>
  <si>
    <t>{jsdata.day[688].absences[1].absenceType}</t>
  </si>
  <si>
    <t>{jsdata.day[689].absences[0].absenceType}</t>
  </si>
  <si>
    <t>{jsdata.day[689].absences[1].absenceType}</t>
  </si>
  <si>
    <t>{jsdata.day[690].absences[0].absenceType}</t>
  </si>
  <si>
    <t>{jsdata.day[690].absences[1].absenceType}</t>
  </si>
  <si>
    <t>{jsdata.day[691].absences[0].absenceType}</t>
  </si>
  <si>
    <t>{jsdata.day[691].absences[1].absenceType}</t>
  </si>
  <si>
    <t>{jsdata.day[692].absences[0].absenceType}</t>
  </si>
  <si>
    <t>{jsdata.day[692].absences[1].absenceType}</t>
  </si>
  <si>
    <t>{jsdata.day[693].absences[0].absenceType}</t>
  </si>
  <si>
    <t>{jsdata.day[693].absences[1].absenceType}</t>
  </si>
  <si>
    <t>{jsdata.day[694].absences[0].absenceType}</t>
  </si>
  <si>
    <t>{jsdata.day[694].absences[1].absenceType}</t>
  </si>
  <si>
    <t>{jsdata.day[695].absences[0].absenceType}</t>
  </si>
  <si>
    <t>{jsdata.day[695].absences[1].absenceType}</t>
  </si>
  <si>
    <t>{jsdata.day[696].absences[0].absenceType}</t>
  </si>
  <si>
    <t>{jsdata.day[696].absences[1].absenceType}</t>
  </si>
  <si>
    <t>{jsdata.day[697].absences[0].absenceType}</t>
  </si>
  <si>
    <t>{jsdata.day[697].absences[1].absenceType}</t>
  </si>
  <si>
    <t>{jsdata.day[698].absences[0].absenceType}</t>
  </si>
  <si>
    <t>{jsdata.day[698].absences[1].absenceType}</t>
  </si>
  <si>
    <t>{jsdata.day[699].absences[0].absenceType}</t>
  </si>
  <si>
    <t>{jsdata.day[699].absences[1].absenceType}</t>
  </si>
  <si>
    <t>{jsdata.day[700].absences[0].absenceType}</t>
  </si>
  <si>
    <t>{jsdata.day[700].absences[1].absenceType}</t>
  </si>
  <si>
    <t>{jsdata.day[701].absences[0].absenceType}</t>
  </si>
  <si>
    <t>{jsdata.day[701].absences[1].absenceType}</t>
  </si>
  <si>
    <t>{jsdata.day[702].absences[0].absenceType}</t>
  </si>
  <si>
    <t>{jsdata.day[702].absences[1].absenceType}</t>
  </si>
  <si>
    <t>{jsdata.day[703].absences[0].absenceType}</t>
  </si>
  <si>
    <t>{jsdata.day[703].absences[1].absenceType}</t>
  </si>
  <si>
    <t>{jsdata.day[704].absences[0].absenceType}</t>
  </si>
  <si>
    <t>{jsdata.day[704].absences[1].absenceType}</t>
  </si>
  <si>
    <t>{jsdata.day[705].absences[0].absenceType}</t>
  </si>
  <si>
    <t>{jsdata.day[705].absences[1].absenceType}</t>
  </si>
  <si>
    <t>{jsdata.day[706].absences[0].absenceType}</t>
  </si>
  <si>
    <t>{jsdata.day[706].absences[1].absenceType}</t>
  </si>
  <si>
    <t>{jsdata.day[707].absences[0].absenceType}</t>
  </si>
  <si>
    <t>{jsdata.day[707].absences[1].absenceType}</t>
  </si>
  <si>
    <t>{jsdata.day[708].absences[0].absenceType}</t>
  </si>
  <si>
    <t>{jsdata.day[708].absences[1].absenceType}</t>
  </si>
  <si>
    <t>{jsdata.day[709].absences[0].absenceType}</t>
  </si>
  <si>
    <t>{jsdata.day[709].absences[1].absenceType}</t>
  </si>
  <si>
    <t>{jsdata.day[710].absences[0].absenceType}</t>
  </si>
  <si>
    <t>{jsdata.day[710].absences[1].absenceType}</t>
  </si>
  <si>
    <t>{jsdata.day[711].absences[0].absenceType}</t>
  </si>
  <si>
    <t>{jsdata.day[711].absences[1].absenceType}</t>
  </si>
  <si>
    <t>{jsdata.day[712].absences[0].absenceType}</t>
  </si>
  <si>
    <t>{jsdata.day[712].absences[1].absenceType}</t>
  </si>
  <si>
    <t>{jsdata.day[713].absences[0].absenceType}</t>
  </si>
  <si>
    <t>{jsdata.day[713].absences[1].absenceType}</t>
  </si>
  <si>
    <t>{jsdata.day[714].absences[0].absenceType}</t>
  </si>
  <si>
    <t>{jsdata.day[714].absences[1].absenceType}</t>
  </si>
  <si>
    <t>{jsdata.day[715].absences[0].absenceType}</t>
  </si>
  <si>
    <t>{jsdata.day[715].absences[1].absenceType}</t>
  </si>
  <si>
    <t>{jsdata.day[716].absences[0].absenceType}</t>
  </si>
  <si>
    <t>{jsdata.day[716].absences[1].absenceType}</t>
  </si>
  <si>
    <t>{jsdata.day[717].absences[0].absenceType}</t>
  </si>
  <si>
    <t>{jsdata.day[717].absences[1].absenceType}</t>
  </si>
  <si>
    <t>{jsdata.day[718].absences[0].absenceType}</t>
  </si>
  <si>
    <t>{jsdata.day[718].absences[1].absenceType}</t>
  </si>
  <si>
    <t>{jsdata.day[719].absences[0].absenceType}</t>
  </si>
  <si>
    <t>{jsdata.day[719].absences[1].absenceType}</t>
  </si>
  <si>
    <t>{jsdata.day[720].absences[0].absenceType}</t>
  </si>
  <si>
    <t>{jsdata.day[720].absences[1].absenceType}</t>
  </si>
  <si>
    <t>{jsdata.day[721].absences[0].absenceType}</t>
  </si>
  <si>
    <t>{jsdata.day[721].absences[1].absenceType}</t>
  </si>
  <si>
    <t>{jsdata.day[722].absences[0].absenceType}</t>
  </si>
  <si>
    <t>{jsdata.day[722].absences[1].absenceType}</t>
  </si>
  <si>
    <t>{jsdata.day[723].absences[0].absenceType}</t>
  </si>
  <si>
    <t>{jsdata.day[723].absences[1].absenceType}</t>
  </si>
  <si>
    <t>{jsdata.day[724].absences[0].absenceType}</t>
  </si>
  <si>
    <t>{jsdata.day[724].absences[1].absenceType}</t>
  </si>
  <si>
    <t>{jsdata.day[725].absences[0].absenceType}</t>
  </si>
  <si>
    <t>{jsdata.day[725].absences[1].absenceType}</t>
  </si>
  <si>
    <t>{jsdata.day[726].absences[0].absenceType}</t>
  </si>
  <si>
    <t>{jsdata.day[726].absences[1].absenceType}</t>
  </si>
  <si>
    <t>{jsdata.day[727].absences[0].absenceType}</t>
  </si>
  <si>
    <t>{jsdata.day[727].absences[1].absenceType}</t>
  </si>
  <si>
    <t>{jsdata.day[728].absences[0].absenceType}</t>
  </si>
  <si>
    <t>{jsdata.day[728].absences[1].absenceType}</t>
  </si>
  <si>
    <t>{jsdata.day[729].absences[0].absenceType}</t>
  </si>
  <si>
    <t>{jsdata.day[729].absences[1].absenceType}</t>
  </si>
  <si>
    <t>{jsdata.day[730].absences[0].absenceType}</t>
  </si>
  <si>
    <t>{jsdata.day[730].absences[1].absenceType}</t>
  </si>
  <si>
    <t>{jsdata.day[731].absences[0].absenceType}</t>
  </si>
  <si>
    <t>{jsdata.day[731].absences[1].absenceType}</t>
  </si>
  <si>
    <t>{jsdata.day[732].absences[0].absenceType}</t>
  </si>
  <si>
    <t>{jsdata.day[732].absences[1].absenceType}</t>
  </si>
  <si>
    <t>{jsdata.day[733].absences[0].absenceType}</t>
  </si>
  <si>
    <t>{jsdata.day[733].absences[1].absenceType}</t>
  </si>
  <si>
    <t>{jsdata.day[734].absences[0].absenceType}</t>
  </si>
  <si>
    <t>{jsdata.day[734].absences[1].absenceType}</t>
  </si>
  <si>
    <t>{jsdata.day[735].absences[0].absenceType}</t>
  </si>
  <si>
    <t>{jsdata.day[735].absences[1].absenceType}</t>
  </si>
  <si>
    <t>{jsdata.day[736].absences[0].absenceType}</t>
  </si>
  <si>
    <t>{jsdata.day[736].absences[1].absenceType}</t>
  </si>
  <si>
    <t>{jsdata.day[737].absences[0].absenceType}</t>
  </si>
  <si>
    <t>{jsdata.day[737].absences[1].absenceType}</t>
  </si>
  <si>
    <t>{jsdata.day[738].absences[0].absenceType}</t>
  </si>
  <si>
    <t>{jsdata.day[738].absences[1].absenceType}</t>
  </si>
  <si>
    <t>{jsdata.day[739].absences[0].absenceType}</t>
  </si>
  <si>
    <t>{jsdata.day[739].absences[1].absenceType}</t>
  </si>
  <si>
    <t>{jsdata.day[740].absences[0].absenceType}</t>
  </si>
  <si>
    <t>{jsdata.day[740].absences[1].absenceType}</t>
  </si>
  <si>
    <t>{jsdata.day[741].absences[0].absenceType}</t>
  </si>
  <si>
    <t>{jsdata.day[741].absences[1].absenceType}</t>
  </si>
  <si>
    <t>{jsdata.day[742].absences[0].absenceType}</t>
  </si>
  <si>
    <t>{jsdata.day[742].absences[1].absenceType}</t>
  </si>
  <si>
    <t>{jsdata.day[743].absences[0].absenceType}</t>
  </si>
  <si>
    <t>{jsdata.day[743].absences[1].absenceType}</t>
  </si>
  <si>
    <t>{jsdata.day[744].absences[0].absenceType}</t>
  </si>
  <si>
    <t>{jsdata.day[744].absences[1].absenceType}</t>
  </si>
  <si>
    <t>{jsdata.day[745].absences[0].absenceType}</t>
  </si>
  <si>
    <t>{jsdata.day[745].absences[1].absenceType}</t>
  </si>
  <si>
    <t>{jsdata.day[746].absences[0].absenceType}</t>
  </si>
  <si>
    <t>{jsdata.day[746].absences[1].absenceType}</t>
  </si>
  <si>
    <t>{jsdata.day[747].absences[0].absenceType}</t>
  </si>
  <si>
    <t>{jsdata.day[747].absences[1].absenceType}</t>
  </si>
  <si>
    <t>{jsdata.day[748].absences[0].absenceType}</t>
  </si>
  <si>
    <t>{jsdata.day[748].absences[1].absenceType}</t>
  </si>
  <si>
    <t>{jsdata.day[749].absences[0].absenceType}</t>
  </si>
  <si>
    <t>{jsdata.day[749].absences[1].absenceType}</t>
  </si>
  <si>
    <t>{jsdata.day[750].absences[0].absenceType}</t>
  </si>
  <si>
    <t>{jsdata.day[750].absences[1].absenceType}</t>
  </si>
  <si>
    <t>{jsdata.day[751].absences[0].absenceType}</t>
  </si>
  <si>
    <t>{jsdata.day[751].absences[1].absenceType}</t>
  </si>
  <si>
    <t>{jsdata.day[752].absences[0].absenceType}</t>
  </si>
  <si>
    <t>{jsdata.day[752].absences[1].absenceType}</t>
  </si>
  <si>
    <t>{jsdata.day[753].absences[0].absenceType}</t>
  </si>
  <si>
    <t>{jsdata.day[753].absences[1].absenceType}</t>
  </si>
  <si>
    <t>{jsdata.day[754].absences[0].absenceType}</t>
  </si>
  <si>
    <t>{jsdata.day[754].absences[1].absenceType}</t>
  </si>
  <si>
    <t>{jsdata.day[755].absences[0].absenceType}</t>
  </si>
  <si>
    <t>{jsdata.day[755].absences[1].absenceType}</t>
  </si>
  <si>
    <t>{jsdata.day[756].absences[0].absenceType}</t>
  </si>
  <si>
    <t>{jsdata.day[756].absences[1].absenceType}</t>
  </si>
  <si>
    <t>{jsdata.day[757].absences[0].absenceType}</t>
  </si>
  <si>
    <t>{jsdata.day[757].absences[1].absenceType}</t>
  </si>
  <si>
    <t>{jsdata.day[758].absences[0].absenceType}</t>
  </si>
  <si>
    <t>{jsdata.day[758].absences[1].absenceType}</t>
  </si>
  <si>
    <t>{jsdata.day[759].absences[0].absenceType}</t>
  </si>
  <si>
    <t>{jsdata.day[759].absences[1].absenceType}</t>
  </si>
  <si>
    <t>{jsdata.day[760].absences[0].absenceType}</t>
  </si>
  <si>
    <t>{jsdata.day[760].absences[1].absenceType}</t>
  </si>
  <si>
    <t>{jsdata.day[761].absences[0].absenceType}</t>
  </si>
  <si>
    <t>{jsdata.day[761].absences[1].absenceType}</t>
  </si>
  <si>
    <t>{jsdata.day[762].absences[0].absenceType}</t>
  </si>
  <si>
    <t>{jsdata.day[762].absences[1].absenceType}</t>
  </si>
  <si>
    <t>{jsdata.day[763].absences[0].absenceType}</t>
  </si>
  <si>
    <t>{jsdata.day[763].absences[1].absenceType}</t>
  </si>
  <si>
    <t>{jsdata.day[764].absences[0].absenceType}</t>
  </si>
  <si>
    <t>{jsdata.day[764].absences[1].absenceType}</t>
  </si>
  <si>
    <t>{jsdata.day[765].absences[0].absenceType}</t>
  </si>
  <si>
    <t>{jsdata.day[765].absences[1].absenceType}</t>
  </si>
  <si>
    <t>{jsdata.day[766].absences[0].absenceType}</t>
  </si>
  <si>
    <t>{jsdata.day[766].absences[1].absenceType}</t>
  </si>
  <si>
    <t>{jsdata.day[767].absences[0].absenceType}</t>
  </si>
  <si>
    <t>{jsdata.day[767].absences[1].absenceType}</t>
  </si>
  <si>
    <t>{jsdata.day[768].absences[0].absenceType}</t>
  </si>
  <si>
    <t>{jsdata.day[768].absences[1].absenceType}</t>
  </si>
  <si>
    <t>{jsdata.day[769].absences[0].absenceType}</t>
  </si>
  <si>
    <t>{jsdata.day[769].absences[1].absenceType}</t>
  </si>
  <si>
    <t>{jsdata.day[770].absences[0].absenceType}</t>
  </si>
  <si>
    <t>{jsdata.day[770].absences[1].absenceType}</t>
  </si>
  <si>
    <t>{jsdata.day[771].absences[0].absenceType}</t>
  </si>
  <si>
    <t>{jsdata.day[771].absences[1].absenceType}</t>
  </si>
  <si>
    <t>{jsdata.day[772].absences[0].absenceType}</t>
  </si>
  <si>
    <t>{jsdata.day[772].absences[1].absenceType}</t>
  </si>
  <si>
    <t>{jsdata.day[773].absences[0].absenceType}</t>
  </si>
  <si>
    <t>{jsdata.day[773].absences[1].absenceType}</t>
  </si>
  <si>
    <t>{jsdata.day[774].absences[0].absenceType}</t>
  </si>
  <si>
    <t>{jsdata.day[774].absences[1].absenceType}</t>
  </si>
  <si>
    <t>{jsdata.day[775].absences[0].absenceType}</t>
  </si>
  <si>
    <t>{jsdata.day[775].absences[1].absenceType}</t>
  </si>
  <si>
    <t>{jsdata.day[776].absences[0].absenceType}</t>
  </si>
  <si>
    <t>{jsdata.day[776].absences[1].absenceType}</t>
  </si>
  <si>
    <t>{jsdata.day[777].absences[0].absenceType}</t>
  </si>
  <si>
    <t>{jsdata.day[777].absences[1].absenceType}</t>
  </si>
  <si>
    <t>{jsdata.day[778].absences[0].absenceType}</t>
  </si>
  <si>
    <t>{jsdata.day[778].absences[1].absenceType}</t>
  </si>
  <si>
    <t>{jsdata.day[779].absences[0].absenceType}</t>
  </si>
  <si>
    <t>{jsdata.day[779].absences[1].absenceType}</t>
  </si>
  <si>
    <t>{jsdata.day[780].absences[0].absenceType}</t>
  </si>
  <si>
    <t>{jsdata.day[780].absences[1].absenceType}</t>
  </si>
  <si>
    <t>{jsdata.day[781].absences[0].absenceType}</t>
  </si>
  <si>
    <t>{jsdata.day[781].absences[1].absenceType}</t>
  </si>
  <si>
    <t>{jsdata.day[782].absences[0].absenceType}</t>
  </si>
  <si>
    <t>{jsdata.day[782].absences[1].absenceType}</t>
  </si>
  <si>
    <t>{jsdata.day[783].absences[0].absenceType}</t>
  </si>
  <si>
    <t>{jsdata.day[783].absences[1].absenceType}</t>
  </si>
  <si>
    <t>{jsdata.day[784].absences[0].absenceType}</t>
  </si>
  <si>
    <t>{jsdata.day[784].absences[1].absenceType}</t>
  </si>
  <si>
    <t>{jsdata.day[785].absences[0].absenceType}</t>
  </si>
  <si>
    <t>{jsdata.day[785].absences[1].absenceType}</t>
  </si>
  <si>
    <t>{jsdata.day[786].absences[0].absenceType}</t>
  </si>
  <si>
    <t>{jsdata.day[786].absences[1].absenceType}</t>
  </si>
  <si>
    <t>{jsdata.day[787].absences[0].absenceType}</t>
  </si>
  <si>
    <t>{jsdata.day[787].absences[1].absenceType}</t>
  </si>
  <si>
    <t>{jsdata.day[788].absences[0].absenceType}</t>
  </si>
  <si>
    <t>{jsdata.day[788].absences[1].absenceType}</t>
  </si>
  <si>
    <t>{jsdata.day[789].absences[0].absenceType}</t>
  </si>
  <si>
    <t>{jsdata.day[789].absences[1].absenceType}</t>
  </si>
  <si>
    <t>{jsdata.day[790].absences[0].absenceType}</t>
  </si>
  <si>
    <t>{jsdata.day[790].absences[1].absenceType}</t>
  </si>
  <si>
    <t>{jsdata.day[791].absences[0].absenceType}</t>
  </si>
  <si>
    <t>{jsdata.day[791].absences[1].absenceType}</t>
  </si>
  <si>
    <t>{jsdata.day[792].absences[0].absenceType}</t>
  </si>
  <si>
    <t>{jsdata.day[792].absences[1].absenceType}</t>
  </si>
  <si>
    <t>{jsdata.day[793].absences[0].absenceType}</t>
  </si>
  <si>
    <t>{jsdata.day[793].absences[1].absenceType}</t>
  </si>
  <si>
    <t>{jsdata.day[794].absences[0].absenceType}</t>
  </si>
  <si>
    <t>{jsdata.day[794].absences[1].absenceType}</t>
  </si>
  <si>
    <t>{jsdata.day[795].absences[0].absenceType}</t>
  </si>
  <si>
    <t>{jsdata.day[795].absences[1].absenceType}</t>
  </si>
  <si>
    <t>{jsdata.day[796].absences[0].absenceType}</t>
  </si>
  <si>
    <t>{jsdata.day[796].absences[1].absenceType}</t>
  </si>
  <si>
    <t>{jsdata.day[797].absences[0].absenceType}</t>
  </si>
  <si>
    <t>{jsdata.day[797].absences[1].absenceType}</t>
  </si>
  <si>
    <t>{jsdata.day[798].absences[0].absenceType}</t>
  </si>
  <si>
    <t>{jsdata.day[798].absences[1].absenceType}</t>
  </si>
  <si>
    <t>{jsdata.day[799].absences[0].absenceType}</t>
  </si>
  <si>
    <t>{jsdata.day[799].absences[1].absenceType}</t>
  </si>
  <si>
    <t>{jsdata.day[800].absences[0].absenceType}</t>
  </si>
  <si>
    <t>{jsdata.day[800].absences[1].absenceType}</t>
  </si>
  <si>
    <t>{jsdata.day[801].absences[0].absenceType}</t>
  </si>
  <si>
    <t>{jsdata.day[801].absences[1].absenceType}</t>
  </si>
  <si>
    <t>{jsdata.day[802].absences[0].absenceType}</t>
  </si>
  <si>
    <t>{jsdata.day[802].absences[1].absenceType}</t>
  </si>
  <si>
    <t>{jsdata.day[803].absences[0].absenceType}</t>
  </si>
  <si>
    <t>{jsdata.day[803].absences[1].absenceType}</t>
  </si>
  <si>
    <t>{jsdata.day[804].absences[0].absenceType}</t>
  </si>
  <si>
    <t>{jsdata.day[804].absences[1].absenceType}</t>
  </si>
  <si>
    <t>{jsdata.day[805].absences[0].absenceType}</t>
  </si>
  <si>
    <t>{jsdata.day[805].absences[1].absenceType}</t>
  </si>
  <si>
    <t>{jsdata.day[806].absences[0].absenceType}</t>
  </si>
  <si>
    <t>{jsdata.day[806].absences[1].absenceType}</t>
  </si>
  <si>
    <t>{jsdata.day[807].absences[0].absenceType}</t>
  </si>
  <si>
    <t>{jsdata.day[807].absences[1].absenceType}</t>
  </si>
  <si>
    <t>{jsdata.day[808].absences[0].absenceType}</t>
  </si>
  <si>
    <t>{jsdata.day[808].absences[1].absenceType}</t>
  </si>
  <si>
    <t>{jsdata.day[809].absences[0].absenceType}</t>
  </si>
  <si>
    <t>{jsdata.day[809].absences[1].absenceType}</t>
  </si>
  <si>
    <t>{jsdata.day[810].absences[0].absenceType}</t>
  </si>
  <si>
    <t>{jsdata.day[810].absences[1].absenceType}</t>
  </si>
  <si>
    <t>{jsdata.day[811].absences[0].absenceType}</t>
  </si>
  <si>
    <t>{jsdata.day[811].absences[1].absenceType}</t>
  </si>
  <si>
    <t>{jsdata.day[812].absences[0].absenceType}</t>
  </si>
  <si>
    <t>{jsdata.day[812].absences[1].absenceType}</t>
  </si>
  <si>
    <t>{jsdata.day[813].absences[0].absenceType}</t>
  </si>
  <si>
    <t>{jsdata.day[813].absences[1].absenceType}</t>
  </si>
  <si>
    <t>{jsdata.day[814].absences[0].absenceType}</t>
  </si>
  <si>
    <t>{jsdata.day[814].absences[1].absenceType}</t>
  </si>
  <si>
    <t>{jsdata.day[815].absences[0].absenceType}</t>
  </si>
  <si>
    <t>{jsdata.day[815].absences[1].absenceType}</t>
  </si>
  <si>
    <t>{jsdata.day[816].absences[0].absenceType}</t>
  </si>
  <si>
    <t>{jsdata.day[816].absences[1].absenceType}</t>
  </si>
  <si>
    <t>{jsdata.day[817].absences[0].absenceType}</t>
  </si>
  <si>
    <t>{jsdata.day[817].absences[1].absenceType}</t>
  </si>
  <si>
    <t>{jsdata.day[818].absences[0].absenceType}</t>
  </si>
  <si>
    <t>{jsdata.day[818].absences[1].absenceType}</t>
  </si>
  <si>
    <t>{jsdata.day[819].absences[0].absenceType}</t>
  </si>
  <si>
    <t>{jsdata.day[819].absences[1].absenceType}</t>
  </si>
  <si>
    <t>{jsdata.day[820].absences[0].absenceType}</t>
  </si>
  <si>
    <t>{jsdata.day[820].absences[1].absenceType}</t>
  </si>
  <si>
    <t>{jsdata.day[821].absences[0].absenceType}</t>
  </si>
  <si>
    <t>{jsdata.day[821].absences[1].absenceType}</t>
  </si>
  <si>
    <t>{jsdata.day[822].absences[0].absenceType}</t>
  </si>
  <si>
    <t>{jsdata.day[822].absences[1].absenceType}</t>
  </si>
  <si>
    <t>{jsdata.day[823].absences[0].absenceType}</t>
  </si>
  <si>
    <t>{jsdata.day[823].absences[1].absenceType}</t>
  </si>
  <si>
    <t>{jsdata.day[824].absences[0].absenceType}</t>
  </si>
  <si>
    <t>{jsdata.day[824].absences[1].absenceType}</t>
  </si>
  <si>
    <t>{jsdata.day[825].absences[0].absenceType}</t>
  </si>
  <si>
    <t>{jsdata.day[825].absences[1].absenceType}</t>
  </si>
  <si>
    <t>{jsdata.day[826].absences[0].absenceType}</t>
  </si>
  <si>
    <t>{jsdata.day[826].absences[1].absenceType}</t>
  </si>
  <si>
    <t>{jsdata.day[827].absences[0].absenceType}</t>
  </si>
  <si>
    <t>{jsdata.day[827].absences[1].absenceType}</t>
  </si>
  <si>
    <t>{jsdata.day[828].absences[0].absenceType}</t>
  </si>
  <si>
    <t>{jsdata.day[828].absences[1].absenceType}</t>
  </si>
  <si>
    <t>{jsdata.day[829].absences[0].absenceType}</t>
  </si>
  <si>
    <t>{jsdata.day[829].absences[1].absenceType}</t>
  </si>
  <si>
    <t>{jsdata.day[830].absences[0].absenceType}</t>
  </si>
  <si>
    <t>{jsdata.day[830].absences[1].absenceType}</t>
  </si>
  <si>
    <t>{jsdata.day[831].absences[0].absenceType}</t>
  </si>
  <si>
    <t>{jsdata.day[831].absences[1].absenceType}</t>
  </si>
  <si>
    <t>{jsdata.day[832].absences[0].absenceType}</t>
  </si>
  <si>
    <t>{jsdata.day[832].absences[1].absenceType}</t>
  </si>
  <si>
    <t>{jsdata.day[833].absences[0].absenceType}</t>
  </si>
  <si>
    <t>{jsdata.day[833].absences[1].absenceType}</t>
  </si>
  <si>
    <t>{jsdata.day[834].absences[0].absenceType}</t>
  </si>
  <si>
    <t>{jsdata.day[834].absences[1].absenceType}</t>
  </si>
  <si>
    <t>{jsdata.day[835].absences[0].absenceType}</t>
  </si>
  <si>
    <t>{jsdata.day[835].absences[1].absenceType}</t>
  </si>
  <si>
    <t>{jsdata.day[836].absences[0].absenceType}</t>
  </si>
  <si>
    <t>{jsdata.day[836].absences[1].absenceType}</t>
  </si>
  <si>
    <t>{jsdata.day[837].absences[0].absenceType}</t>
  </si>
  <si>
    <t>{jsdata.day[837].absences[1].absenceType}</t>
  </si>
  <si>
    <t>{jsdata.day[838].absences[0].absenceType}</t>
  </si>
  <si>
    <t>{jsdata.day[838].absences[1].absenceType}</t>
  </si>
  <si>
    <t>{jsdata.day[839].absences[0].absenceType}</t>
  </si>
  <si>
    <t>{jsdata.day[839].absences[1].absenceType}</t>
  </si>
  <si>
    <t>{jsdata.day[840].absences[0].absenceType}</t>
  </si>
  <si>
    <t>{jsdata.day[840].absences[1].absenceType}</t>
  </si>
  <si>
    <t>{jsdata.day[841].absences[0].absenceType}</t>
  </si>
  <si>
    <t>{jsdata.day[841].absences[1].absenceType}</t>
  </si>
  <si>
    <t>{jsdata.day[842].absences[0].absenceType}</t>
  </si>
  <si>
    <t>{jsdata.day[842].absences[1].absenceType}</t>
  </si>
  <si>
    <t>{jsdata.day[843].absences[0].absenceType}</t>
  </si>
  <si>
    <t>{jsdata.day[843].absences[1].absenceType}</t>
  </si>
  <si>
    <t>{jsdata.day[844].absences[0].absenceType}</t>
  </si>
  <si>
    <t>{jsdata.day[844].absences[1].absenceType}</t>
  </si>
  <si>
    <t>{jsdata.day[845].absences[0].absenceType}</t>
  </si>
  <si>
    <t>{jsdata.day[845].absences[1].absenceType}</t>
  </si>
  <si>
    <t>{jsdata.day[846].absences[0].absenceType}</t>
  </si>
  <si>
    <t>{jsdata.day[846].absences[1].absenceType}</t>
  </si>
  <si>
    <t>{jsdata.day[847].absences[0].absenceType}</t>
  </si>
  <si>
    <t>{jsdata.day[847].absences[1].absenceType}</t>
  </si>
  <si>
    <t>{jsdata.day[848].absences[0].absenceType}</t>
  </si>
  <si>
    <t>{jsdata.day[848].absences[1].absenceType}</t>
  </si>
  <si>
    <t>{jsdata.day[849].absences[0].absenceType}</t>
  </si>
  <si>
    <t>{jsdata.day[849].absences[1].absenceType}</t>
  </si>
  <si>
    <t>{jsdata.day[850].absences[0].absenceType}</t>
  </si>
  <si>
    <t>{jsdata.day[850].absences[1].absenceType}</t>
  </si>
  <si>
    <t>{jsdata.day[851].absences[0].absenceType}</t>
  </si>
  <si>
    <t>{jsdata.day[851].absences[1].absenceType}</t>
  </si>
  <si>
    <t>{jsdata.day[852].absences[0].absenceType}</t>
  </si>
  <si>
    <t>{jsdata.day[852].absences[1].absenceType}</t>
  </si>
  <si>
    <t>{jsdata.day[853].absences[0].absenceType}</t>
  </si>
  <si>
    <t>{jsdata.day[853].absences[1].absenceType}</t>
  </si>
  <si>
    <t>{jsdata.day[854].absences[0].absenceType}</t>
  </si>
  <si>
    <t>{jsdata.day[854].absences[1].absenceType}</t>
  </si>
  <si>
    <t>{jsdata.day[855].absences[0].absenceType}</t>
  </si>
  <si>
    <t>{jsdata.day[855].absences[1].absenceType}</t>
  </si>
  <si>
    <t>{jsdata.day[856].absences[0].absenceType}</t>
  </si>
  <si>
    <t>{jsdata.day[856].absences[1].absenceType}</t>
  </si>
  <si>
    <t>{jsdata.day[857].absences[0].absenceType}</t>
  </si>
  <si>
    <t>{jsdata.day[857].absences[1].absenceType}</t>
  </si>
  <si>
    <t>{jsdata.day[858].absences[0].absenceType}</t>
  </si>
  <si>
    <t>{jsdata.day[858].absences[1].absenceType}</t>
  </si>
  <si>
    <t>{jsdata.day[859].absences[0].absenceType}</t>
  </si>
  <si>
    <t>{jsdata.day[859].absences[1].absenceType}</t>
  </si>
  <si>
    <t>{jsdata.day[860].absences[0].absenceType}</t>
  </si>
  <si>
    <t>{jsdata.day[860].absences[1].absenceType}</t>
  </si>
  <si>
    <t>{jsdata.day[861].absences[0].absenceType}</t>
  </si>
  <si>
    <t>{jsdata.day[861].absences[1].absenceType}</t>
  </si>
  <si>
    <t>{jsdata.day[862].absences[0].absenceType}</t>
  </si>
  <si>
    <t>{jsdata.day[862].absences[1].absenceType}</t>
  </si>
  <si>
    <t>{jsdata.day[863].absences[0].absenceType}</t>
  </si>
  <si>
    <t>{jsdata.day[863].absences[1].absenceType}</t>
  </si>
  <si>
    <t>{jsdata.day[864].absences[0].absenceType}</t>
  </si>
  <si>
    <t>{jsdata.day[864].absences[1].absenceType}</t>
  </si>
  <si>
    <t>{jsdata.day[865].absences[0].absenceType}</t>
  </si>
  <si>
    <t>{jsdata.day[865].absences[1].absenceType}</t>
  </si>
  <si>
    <t>{jsdata.day[866].absences[0].absenceType}</t>
  </si>
  <si>
    <t>{jsdata.day[866].absences[1].absenceType}</t>
  </si>
  <si>
    <t>{jsdata.day[867].absences[0].absenceType}</t>
  </si>
  <si>
    <t>{jsdata.day[867].absences[1].absenceType}</t>
  </si>
  <si>
    <t>{jsdata.day[868].absences[0].absenceType}</t>
  </si>
  <si>
    <t>{jsdata.day[868].absences[1].absenceType}</t>
  </si>
  <si>
    <t>{jsdata.day[869].absences[0].absenceType}</t>
  </si>
  <si>
    <t>{jsdata.day[869].absences[1].absenceType}</t>
  </si>
  <si>
    <t>{jsdata.day[870].absences[0].absenceType}</t>
  </si>
  <si>
    <t>{jsdata.day[870].absences[1].absenceType}</t>
  </si>
  <si>
    <t>{jsdata.day[871].absences[0].absenceType}</t>
  </si>
  <si>
    <t>{jsdata.day[871].absences[1].absenceType}</t>
  </si>
  <si>
    <t>{jsdata.day[872].absences[0].absenceType}</t>
  </si>
  <si>
    <t>{jsdata.day[872].absences[1].absenceType}</t>
  </si>
  <si>
    <t>{jsdata.day[873].absences[0].absenceType}</t>
  </si>
  <si>
    <t>{jsdata.day[873].absences[1].absenceType}</t>
  </si>
  <si>
    <t>{jsdata.day[874].absences[0].absenceType}</t>
  </si>
  <si>
    <t>{jsdata.day[874].absences[1].absenceType}</t>
  </si>
  <si>
    <t>{jsdata.day[875].absences[0].absenceType}</t>
  </si>
  <si>
    <t>{jsdata.day[875].absences[1].absenceType}</t>
  </si>
  <si>
    <t>{jsdata.day[876].absences[0].absenceType}</t>
  </si>
  <si>
    <t>{jsdata.day[876].absences[1].absenceType}</t>
  </si>
  <si>
    <t>{jsdata.day[877].absences[0].absenceType}</t>
  </si>
  <si>
    <t>{jsdata.day[877].absences[1].absenceType}</t>
  </si>
  <si>
    <t>{jsdata.day[878].absences[0].absenceType}</t>
  </si>
  <si>
    <t>{jsdata.day[878].absences[1].absenceType}</t>
  </si>
  <si>
    <t>{jsdata.day[879].absences[0].absenceType}</t>
  </si>
  <si>
    <t>{jsdata.day[879].absences[1].absenceType}</t>
  </si>
  <si>
    <t>{jsdata.day[880].absences[0].absenceType}</t>
  </si>
  <si>
    <t>{jsdata.day[880].absences[1].absenceType}</t>
  </si>
  <si>
    <t>{jsdata.day[881].absences[0].absenceType}</t>
  </si>
  <si>
    <t>{jsdata.day[881].absences[1].absenceType}</t>
  </si>
  <si>
    <t>{jsdata.day[882].absences[0].absenceType}</t>
  </si>
  <si>
    <t>{jsdata.day[882].absences[1].absenceType}</t>
  </si>
  <si>
    <t>{jsdata.day[883].absences[0].absenceType}</t>
  </si>
  <si>
    <t>{jsdata.day[883].absences[1].absenceType}</t>
  </si>
  <si>
    <t>{jsdata.day[884].absences[0].absenceType}</t>
  </si>
  <si>
    <t>{jsdata.day[884].absences[1].absenceType}</t>
  </si>
  <si>
    <t>{jsdata.day[885].absences[0].absenceType}</t>
  </si>
  <si>
    <t>{jsdata.day[885].absences[1].absenceType}</t>
  </si>
  <si>
    <t>{jsdata.day[886].absences[0].absenceType}</t>
  </si>
  <si>
    <t>{jsdata.day[886].absences[1].absenceType}</t>
  </si>
  <si>
    <t>{jsdata.day[887].absences[0].absenceType}</t>
  </si>
  <si>
    <t>{jsdata.day[887].absences[1].absenceType}</t>
  </si>
  <si>
    <t>{jsdata.day[888].absences[0].absenceType}</t>
  </si>
  <si>
    <t>{jsdata.day[888].absences[1].absenceType}</t>
  </si>
  <si>
    <t>{jsdata.day[889].absences[0].absenceType}</t>
  </si>
  <si>
    <t>{jsdata.day[889].absences[1].absenceType}</t>
  </si>
  <si>
    <t>{jsdata.day[890].absences[0].absenceType}</t>
  </si>
  <si>
    <t>{jsdata.day[890].absences[1].absenceType}</t>
  </si>
  <si>
    <t>{jsdata.day[891].absences[0].absenceType}</t>
  </si>
  <si>
    <t>{jsdata.day[891].absences[1].absenceType}</t>
  </si>
  <si>
    <t>{jsdata.day[892].absences[0].absenceType}</t>
  </si>
  <si>
    <t>{jsdata.day[892].absences[1].absenceType}</t>
  </si>
  <si>
    <t>{jsdata.day[893].absences[0].absenceType}</t>
  </si>
  <si>
    <t>{jsdata.day[893].absences[1].absenceType}</t>
  </si>
  <si>
    <t>{jsdata.day[894].absences[0].absenceType}</t>
  </si>
  <si>
    <t>{jsdata.day[894].absences[1].absenceType}</t>
  </si>
  <si>
    <t>{jsdata.day[895].absences[0].absenceType}</t>
  </si>
  <si>
    <t>{jsdata.day[895].absences[1].absenceType}</t>
  </si>
  <si>
    <t>{jsdata.day[896].absences[0].absenceType}</t>
  </si>
  <si>
    <t>{jsdata.day[896].absences[1].absenceType}</t>
  </si>
  <si>
    <t>{jsdata.day[897].absences[0].absenceType}</t>
  </si>
  <si>
    <t>{jsdata.day[897].absences[1].absenceType}</t>
  </si>
  <si>
    <t>{jsdata.day[898].absences[0].absenceType}</t>
  </si>
  <si>
    <t>{jsdata.day[898].absences[1].absenceType}</t>
  </si>
  <si>
    <t>{jsdata.day[899].absences[0].absenceType}</t>
  </si>
  <si>
    <t>{jsdata.day[899].absences[1].absenceType}</t>
  </si>
  <si>
    <t>{jsdata.day[900].absences[0].absenceType}</t>
  </si>
  <si>
    <t>{jsdata.day[900].absences[1].absenceType}</t>
  </si>
  <si>
    <t>{jsdata.day[901].absences[0].absenceType}</t>
  </si>
  <si>
    <t>{jsdata.day[901].absences[1].absenceType}</t>
  </si>
  <si>
    <t>{jsdata.day[902].absences[0].absenceType}</t>
  </si>
  <si>
    <t>{jsdata.day[902].absences[1].absenceType}</t>
  </si>
  <si>
    <t>{jsdata.day[903].absences[0].absenceType}</t>
  </si>
  <si>
    <t>{jsdata.day[903].absences[1].absenceType}</t>
  </si>
  <si>
    <t>{jsdata.day[904].absences[0].absenceType}</t>
  </si>
  <si>
    <t>{jsdata.day[904].absences[1].absenceType}</t>
  </si>
  <si>
    <t>{jsdata.day[905].absences[0].absenceType}</t>
  </si>
  <si>
    <t>{jsdata.day[905].absences[1].absenceType}</t>
  </si>
  <si>
    <t>{jsdata.day[906].absences[0].absenceType}</t>
  </si>
  <si>
    <t>{jsdata.day[906].absences[1].absenceType}</t>
  </si>
  <si>
    <t>{jsdata.day[907].absences[0].absenceType}</t>
  </si>
  <si>
    <t>{jsdata.day[907].absences[1].absenceType}</t>
  </si>
  <si>
    <t>{jsdata.day[908].absences[0].absenceType}</t>
  </si>
  <si>
    <t>{jsdata.day[908].absences[1].absenceType}</t>
  </si>
  <si>
    <t>{jsdata.day[909].absences[0].absenceType}</t>
  </si>
  <si>
    <t>{jsdata.day[909].absences[1].absenceType}</t>
  </si>
  <si>
    <t>{jsdata.day[910].absences[0].absenceType}</t>
  </si>
  <si>
    <t>{jsdata.day[910].absences[1].absenceType}</t>
  </si>
  <si>
    <t>{jsdata.day[911].absences[0].absenceType}</t>
  </si>
  <si>
    <t>{jsdata.day[911].absences[1].absenceType}</t>
  </si>
  <si>
    <t>{jsdata.day[912].absences[0].absenceType}</t>
  </si>
  <si>
    <t>{jsdata.day[912].absences[1].absenceType}</t>
  </si>
  <si>
    <t>{jsdata.day[913].absences[0].absenceType}</t>
  </si>
  <si>
    <t>{jsdata.day[913].absences[1].absenceType}</t>
  </si>
  <si>
    <t>{jsdata.day[914].absences[0].absenceType}</t>
  </si>
  <si>
    <t>{jsdata.day[914].absences[1].absenceType}</t>
  </si>
  <si>
    <t>{jsdata.day[915].absences[0].absenceType}</t>
  </si>
  <si>
    <t>{jsdata.day[915].absences[1].absenceType}</t>
  </si>
  <si>
    <t>{jsdata.day[916].absences[0].absenceType}</t>
  </si>
  <si>
    <t>{jsdata.day[916].absences[1].absenceType}</t>
  </si>
  <si>
    <t>{jsdata.day[917].absences[0].absenceType}</t>
  </si>
  <si>
    <t>{jsdata.day[917].absences[1].absenceType}</t>
  </si>
  <si>
    <t>{jsdata.day[918].absences[0].absenceType}</t>
  </si>
  <si>
    <t>{jsdata.day[918].absences[1].absenceType}</t>
  </si>
  <si>
    <t>{jsdata.day[919].absences[0].absenceType}</t>
  </si>
  <si>
    <t>{jsdata.day[919].absences[1].absenceType}</t>
  </si>
  <si>
    <t>{jsdata.day[920].absences[0].absenceType}</t>
  </si>
  <si>
    <t>{jsdata.day[920].absences[1].absenceType}</t>
  </si>
  <si>
    <t>{jsdata.day[921].absences[0].absenceType}</t>
  </si>
  <si>
    <t>{jsdata.day[921].absences[1].absenceType}</t>
  </si>
  <si>
    <t>{jsdata.day[922].absences[0].absenceType}</t>
  </si>
  <si>
    <t>{jsdata.day[922].absences[1].absenceType}</t>
  </si>
  <si>
    <t>{jsdata.day[923].absences[0].absenceType}</t>
  </si>
  <si>
    <t>{jsdata.day[923].absences[1].absenceType}</t>
  </si>
  <si>
    <t>{jsdata.day[924].absences[0].absenceType}</t>
  </si>
  <si>
    <t>{jsdata.day[924].absences[1].absenceType}</t>
  </si>
  <si>
    <t>{jsdata.day[925].absences[0].absenceType}</t>
  </si>
  <si>
    <t>{jsdata.day[925].absences[1].absenceType}</t>
  </si>
  <si>
    <t>{jsdata.day[926].absences[0].absenceType}</t>
  </si>
  <si>
    <t>{jsdata.day[926].absences[1].absenceType}</t>
  </si>
  <si>
    <t>{jsdata.day[927].absences[0].absenceType}</t>
  </si>
  <si>
    <t>{jsdata.day[927].absences[1].absenceType}</t>
  </si>
  <si>
    <t>{jsdata.day[928].absences[0].absenceType}</t>
  </si>
  <si>
    <t>{jsdata.day[928].absences[1].absenceType}</t>
  </si>
  <si>
    <t>{jsdata.day[929].absences[0].absenceType}</t>
  </si>
  <si>
    <t>{jsdata.day[929].absences[1].absenceType}</t>
  </si>
  <si>
    <t>{jsdata.day[930].absences[0].absenceType}</t>
  </si>
  <si>
    <t>{jsdata.day[930].absences[1].absenceType}</t>
  </si>
  <si>
    <t>{jsdata.day[931].absences[0].absenceType}</t>
  </si>
  <si>
    <t>{jsdata.day[931].absences[1].absenceType}</t>
  </si>
  <si>
    <t>{jsdata.day[932].absences[0].absenceType}</t>
  </si>
  <si>
    <t>{jsdata.day[932].absences[1].absenceType}</t>
  </si>
  <si>
    <t>{jsdata.day[933].absences[0].absenceType}</t>
  </si>
  <si>
    <t>{jsdata.day[933].absences[1].absenceType}</t>
  </si>
  <si>
    <t>{jsdata.day[934].absences[0].absenceType}</t>
  </si>
  <si>
    <t>{jsdata.day[934].absences[1].absenceType}</t>
  </si>
  <si>
    <t>{jsdata.day[935].absences[0].absenceType}</t>
  </si>
  <si>
    <t>{jsdata.day[935].absences[1].absenceType}</t>
  </si>
  <si>
    <t>{jsdata.day[936].absences[0].absenceType}</t>
  </si>
  <si>
    <t>{jsdata.day[936].absences[1].absenceType}</t>
  </si>
  <si>
    <t>{jsdata.day[937].absences[0].absenceType}</t>
  </si>
  <si>
    <t>{jsdata.day[937].absences[1].absenceType}</t>
  </si>
  <si>
    <t>{jsdata.day[938].absences[0].absenceType}</t>
  </si>
  <si>
    <t>{jsdata.day[938].absences[1].absenceType}</t>
  </si>
  <si>
    <t>{jsdata.day[939].absences[0].absenceType}</t>
  </si>
  <si>
    <t>{jsdata.day[939].absences[1].absenceType}</t>
  </si>
  <si>
    <t>{jsdata.day[940].absences[0].absenceType}</t>
  </si>
  <si>
    <t>{jsdata.day[940].absences[1].absenceType}</t>
  </si>
  <si>
    <t>{jsdata.day[941].absences[0].absenceType}</t>
  </si>
  <si>
    <t>{jsdata.day[941].absences[1].absenceType}</t>
  </si>
  <si>
    <t>{jsdata.day[942].absences[0].absenceType}</t>
  </si>
  <si>
    <t>{jsdata.day[942].absences[1].absenceType}</t>
  </si>
  <si>
    <t>{jsdata.day[943].absences[0].absenceType}</t>
  </si>
  <si>
    <t>{jsdata.day[943].absences[1].absenceType}</t>
  </si>
  <si>
    <t>{jsdata.day[944].absences[0].absenceType}</t>
  </si>
  <si>
    <t>{jsdata.day[944].absences[1].absenceType}</t>
  </si>
  <si>
    <t>{jsdata.day[945].absences[0].absenceType}</t>
  </si>
  <si>
    <t>{jsdata.day[945].absences[1].absenceType}</t>
  </si>
  <si>
    <t>{jsdata.day[946].absences[0].absenceType}</t>
  </si>
  <si>
    <t>{jsdata.day[946].absences[1].absenceType}</t>
  </si>
  <si>
    <t>{jsdata.day[947].absences[0].absenceType}</t>
  </si>
  <si>
    <t>{jsdata.day[947].absences[1].absenceType}</t>
  </si>
  <si>
    <t>{jsdata.day[948].absences[0].absenceType}</t>
  </si>
  <si>
    <t>{jsdata.day[948].absences[1].absenceType}</t>
  </si>
  <si>
    <t>{jsdata.day[949].absences[0].absenceType}</t>
  </si>
  <si>
    <t>{jsdata.day[949].absences[1].absenceType}</t>
  </si>
  <si>
    <t>{jsdata.day[950].absences[0].absenceType}</t>
  </si>
  <si>
    <t>{jsdata.day[950].absences[1].absenceType}</t>
  </si>
  <si>
    <t>{jsdata.day[951].absences[0].absenceType}</t>
  </si>
  <si>
    <t>{jsdata.day[951].absences[1].absenceType}</t>
  </si>
  <si>
    <t>{jsdata.day[952].absences[0].absenceType}</t>
  </si>
  <si>
    <t>{jsdata.day[952].absences[1].absenceType}</t>
  </si>
  <si>
    <t>{jsdata.day[953].absences[0].absenceType}</t>
  </si>
  <si>
    <t>{jsdata.day[953].absences[1].absenceType}</t>
  </si>
  <si>
    <t>{jsdata.day[954].absences[0].absenceType}</t>
  </si>
  <si>
    <t>{jsdata.day[954].absences[1].absenceType}</t>
  </si>
  <si>
    <t>{jsdata.day[955].absences[0].absenceType}</t>
  </si>
  <si>
    <t>{jsdata.day[955].absences[1].absenceType}</t>
  </si>
  <si>
    <t>{jsdata.day[956].absences[0].absenceType}</t>
  </si>
  <si>
    <t>{jsdata.day[956].absences[1].absenceType}</t>
  </si>
  <si>
    <t>{jsdata.day[957].absences[0].absenceType}</t>
  </si>
  <si>
    <t>{jsdata.day[957].absences[1].absenceType}</t>
  </si>
  <si>
    <t>{jsdata.day[958].absences[0].absenceType}</t>
  </si>
  <si>
    <t>{jsdata.day[958].absences[1].absenceType}</t>
  </si>
  <si>
    <t>{jsdata.day[959].absences[0].absenceType}</t>
  </si>
  <si>
    <t>{jsdata.day[959].absences[1].absenceType}</t>
  </si>
  <si>
    <t>{jsdata.day[960].absences[0].absenceType}</t>
  </si>
  <si>
    <t>{jsdata.day[960].absences[1].absenceType}</t>
  </si>
  <si>
    <t>{jsdata.day[961].absences[0].absenceType}</t>
  </si>
  <si>
    <t>{jsdata.day[961].absences[1].absenceType}</t>
  </si>
  <si>
    <t>{jsdata.day[962].absences[0].absenceType}</t>
  </si>
  <si>
    <t>{jsdata.day[962].absences[1].absenceType}</t>
  </si>
  <si>
    <t>{jsdata.day[963].absences[0].absenceType}</t>
  </si>
  <si>
    <t>{jsdata.day[963].absences[1].absenceType}</t>
  </si>
  <si>
    <t>{jsdata.day[964].absences[0].absenceType}</t>
  </si>
  <si>
    <t>{jsdata.day[964].absences[1].absenceType}</t>
  </si>
  <si>
    <t>{jsdata.day[965].absences[0].absenceType}</t>
  </si>
  <si>
    <t>{jsdata.day[965].absences[1].absenceType}</t>
  </si>
  <si>
    <t>{jsdata.day[966].absences[0].absenceType}</t>
  </si>
  <si>
    <t>{jsdata.day[966].absences[1].absenceType}</t>
  </si>
  <si>
    <t>{jsdata.day[967].absences[0].absenceType}</t>
  </si>
  <si>
    <t>{jsdata.day[967].absences[1].absenceType}</t>
  </si>
  <si>
    <t>{jsdata.day[968].absences[0].absenceType}</t>
  </si>
  <si>
    <t>{jsdata.day[968].absences[1].absenceType}</t>
  </si>
  <si>
    <t>{jsdata.day[969].absences[0].absenceType}</t>
  </si>
  <si>
    <t>{jsdata.day[969].absences[1].absenceType}</t>
  </si>
  <si>
    <t>{jsdata.day[970].absences[0].absenceType}</t>
  </si>
  <si>
    <t>{jsdata.day[970].absences[1].absenceType}</t>
  </si>
  <si>
    <t>{jsdata.day[971].absences[0].absenceType}</t>
  </si>
  <si>
    <t>{jsdata.day[971].absences[1].absenceType}</t>
  </si>
  <si>
    <t>{jsdata.day[972].absences[0].absenceType}</t>
  </si>
  <si>
    <t>{jsdata.day[972].absences[1].absenceType}</t>
  </si>
  <si>
    <t>{jsdata.day[973].absences[0].absenceType}</t>
  </si>
  <si>
    <t>{jsdata.day[973].absences[1].absenceType}</t>
  </si>
  <si>
    <t>{jsdata.day[974].absences[0].absenceType}</t>
  </si>
  <si>
    <t>{jsdata.day[974].absences[1].absenceType}</t>
  </si>
  <si>
    <t>{jsdata.day[975].absences[0].absenceType}</t>
  </si>
  <si>
    <t>{jsdata.day[975].absences[1].absenceType}</t>
  </si>
  <si>
    <t>{jsdata.day[976].absences[0].absenceType}</t>
  </si>
  <si>
    <t>{jsdata.day[976].absences[1].absenceType}</t>
  </si>
  <si>
    <t>{jsdata.day[977].absences[0].absenceType}</t>
  </si>
  <si>
    <t>{jsdata.day[977].absences[1].absenceType}</t>
  </si>
  <si>
    <t>{jsdata.day[978].absences[0].absenceType}</t>
  </si>
  <si>
    <t>{jsdata.day[978].absences[1].absenceType}</t>
  </si>
  <si>
    <t>{jsdata.day[979].absences[0].absenceType}</t>
  </si>
  <si>
    <t>{jsdata.day[979].absences[1].absenceType}</t>
  </si>
  <si>
    <t>{jsdata.day[980].absences[0].absenceType}</t>
  </si>
  <si>
    <t>{jsdata.day[980].absences[1].absenceType}</t>
  </si>
  <si>
    <t>{jsdata.day[981].absences[0].absenceType}</t>
  </si>
  <si>
    <t>{jsdata.day[981].absences[1].absenceType}</t>
  </si>
  <si>
    <t>{jsdata.day[982].absences[0].absenceType}</t>
  </si>
  <si>
    <t>{jsdata.day[982].absences[1].absenceType}</t>
  </si>
  <si>
    <t>{jsdata.day[983].absences[0].absenceType}</t>
  </si>
  <si>
    <t>{jsdata.day[983].absences[1].absenceType}</t>
  </si>
  <si>
    <t>{jsdata.day[984].absences[0].absenceType}</t>
  </si>
  <si>
    <t>{jsdata.day[984].absences[1].absenceType}</t>
  </si>
  <si>
    <t>{jsdata.day[985].absences[0].absenceType}</t>
  </si>
  <si>
    <t>{jsdata.day[985].absences[1].absenceType}</t>
  </si>
  <si>
    <t>{jsdata.day[986].absences[0].absenceType}</t>
  </si>
  <si>
    <t>{jsdata.day[986].absences[1].absenceType}</t>
  </si>
  <si>
    <t>{jsdata.day[987].absences[0].absenceType}</t>
  </si>
  <si>
    <t>{jsdata.day[987].absences[1].absenceType}</t>
  </si>
  <si>
    <t>{jsdata.day[988].absences[0].absenceType}</t>
  </si>
  <si>
    <t>{jsdata.day[988].absences[1].absenceType}</t>
  </si>
  <si>
    <t>{jsdata.day[989].absences[0].absenceType}</t>
  </si>
  <si>
    <t>{jsdata.day[989].absences[1].absenceType}</t>
  </si>
  <si>
    <t>{jsdata.day[990].absences[0].absenceType}</t>
  </si>
  <si>
    <t>{jsdata.day[990].absences[1].absenceType}</t>
  </si>
  <si>
    <t>{jsdata.day[991].absences[0].absenceType}</t>
  </si>
  <si>
    <t>{jsdata.day[991].absences[1].absenceType}</t>
  </si>
  <si>
    <t>{jsdata.day[992].absences[0].absenceType}</t>
  </si>
  <si>
    <t>{jsdata.day[992].absences[1].absenceType}</t>
  </si>
  <si>
    <t>{jsdata.day[993].absences[0].absenceType}</t>
  </si>
  <si>
    <t>{jsdata.day[993].absences[1].absenceType}</t>
  </si>
  <si>
    <t>{jsdata.day[994].absences[0].absenceType}</t>
  </si>
  <si>
    <t>{jsdata.day[994].absences[1].absenceType}</t>
  </si>
  <si>
    <t>{jsdata.day[995].absences[0].absenceType}</t>
  </si>
  <si>
    <t>{jsdata.day[995].absences[1].absenceType}</t>
  </si>
  <si>
    <t>{jsdata.day[996].absences[0].absenceType}</t>
  </si>
  <si>
    <t>{jsdata.day[996].absences[1].absenceType}</t>
  </si>
  <si>
    <t>{jsdata.day[997].absences[0].absenceType}</t>
  </si>
  <si>
    <t>{jsdata.day[997].absences[1].absenceType}</t>
  </si>
  <si>
    <t>{jsdata.day[998].absences[0].absenceType}</t>
  </si>
  <si>
    <t>{jsdata.day[998].absences[1].absenceType}</t>
  </si>
  <si>
    <t>{jsdata.day[999].absences[0].absenceType}</t>
  </si>
  <si>
    <t>{jsdata.day[999].absences[1].absenceType}</t>
  </si>
  <si>
    <t>{jsdata.day[1000].absences[0].absenceType}</t>
  </si>
  <si>
    <t>{jsdata.day[1000].absences[1].absenceType}</t>
  </si>
  <si>
    <t>{jsdata.day[1001].absences[0].absenceType}</t>
  </si>
  <si>
    <t>{jsdata.day[1001].absences[1].absenceType}</t>
  </si>
  <si>
    <t>{jsdata.day[1002].absences[0].absenceType}</t>
  </si>
  <si>
    <t>{jsdata.day[1002].absences[1].absenceType}</t>
  </si>
  <si>
    <t>{jsdata.day[1003].absences[0].absenceType}</t>
  </si>
  <si>
    <t>{jsdata.day[1003].absences[1].absenceType}</t>
  </si>
  <si>
    <t>{jsdata.day[1004].absences[0].absenceType}</t>
  </si>
  <si>
    <t>{jsdata.day[1004].absences[1].absenceType}</t>
  </si>
  <si>
    <t>{jsdata.day[1005].absences[0].absenceType}</t>
  </si>
  <si>
    <t>{jsdata.day[1005].absences[1].absenceType}</t>
  </si>
  <si>
    <t>{jsdata.day[1006].absences[0].absenceType}</t>
  </si>
  <si>
    <t>{jsdata.day[1006].absences[1].absenceType}</t>
  </si>
  <si>
    <t>{jsdata.day[1007].absences[0].absenceType}</t>
  </si>
  <si>
    <t>{jsdata.day[1007].absences[1].absenceType}</t>
  </si>
  <si>
    <t>{jsdata.day[1008].absences[0].absenceType}</t>
  </si>
  <si>
    <t>{jsdata.day[1008].absences[1].absenceType}</t>
  </si>
  <si>
    <t>{jsdata.day[1009].absences[0].absenceType}</t>
  </si>
  <si>
    <t>{jsdata.day[1009].absences[1].absenceType}</t>
  </si>
  <si>
    <t>{jsdata.day[1010].absences[0].absenceType}</t>
  </si>
  <si>
    <t>{jsdata.day[1010].absences[1].absenceType}</t>
  </si>
  <si>
    <t>{jsdata.day[1011].absences[0].absenceType}</t>
  </si>
  <si>
    <t>{jsdata.day[1011].absences[1].absenceType}</t>
  </si>
  <si>
    <t>{jsdata.day[1012].absences[0].absenceType}</t>
  </si>
  <si>
    <t>{jsdata.day[1012].absences[1].absenceType}</t>
  </si>
  <si>
    <t>{jsdata.day[1013].absences[0].absenceType}</t>
  </si>
  <si>
    <t>{jsdata.day[1013].absences[1].absenceType}</t>
  </si>
  <si>
    <t>{jsdata.day[1014].absences[0].absenceType}</t>
  </si>
  <si>
    <t>{jsdata.day[1014].absences[1].absenceType}</t>
  </si>
  <si>
    <t>{jsdata.day[1015].absences[0].absenceType}</t>
  </si>
  <si>
    <t>{jsdata.day[1015].absences[1].absenceType}</t>
  </si>
  <si>
    <t>{jsdata.day[1016].absences[0].absenceType}</t>
  </si>
  <si>
    <t>{jsdata.day[1016].absences[1].absenceType}</t>
  </si>
  <si>
    <t>{jsdata.day[1017].absences[0].absenceType}</t>
  </si>
  <si>
    <t>{jsdata.day[1017].absences[1].absenceType}</t>
  </si>
  <si>
    <t>{jsdata.day[1018].absences[0].absenceType}</t>
  </si>
  <si>
    <t>{jsdata.day[1018].absences[1].absenceType}</t>
  </si>
  <si>
    <t>{jsdata.day[1019].absences[0].absenceType}</t>
  </si>
  <si>
    <t>{jsdata.day[1019].absences[1].absenceType}</t>
  </si>
  <si>
    <t>{jsdata.day[1020].absences[0].absenceType}</t>
  </si>
  <si>
    <t>{jsdata.day[1020].absences[1].absenceType}</t>
  </si>
  <si>
    <t>{jsdata.day[1021].absences[0].absenceType}</t>
  </si>
  <si>
    <t>{jsdata.day[1021].absences[1].absenceType}</t>
  </si>
  <si>
    <t>{jsdata.day[1022].absences[0].absenceType}</t>
  </si>
  <si>
    <t>{jsdata.day[1022].absences[1].absenceType}</t>
  </si>
  <si>
    <t>{jsdata.day[1023].absences[0].absenceType}</t>
  </si>
  <si>
    <t>{jsdata.day[1023].absences[1].absenceType}</t>
  </si>
  <si>
    <t>{jsdata.day[1024].absences[0].absenceType}</t>
  </si>
  <si>
    <t>{jsdata.day[1024].absences[1].absenceType}</t>
  </si>
  <si>
    <t>{jsdata.day[1025].absences[0].absenceType}</t>
  </si>
  <si>
    <t>{jsdata.day[1025].absences[1].absenceType}</t>
  </si>
  <si>
    <t>{jsdata.day[1026].absences[0].absenceType}</t>
  </si>
  <si>
    <t>{jsdata.day[1026].absences[1].absenceType}</t>
  </si>
  <si>
    <t>{jsdata.day[1027].absences[0].absenceType}</t>
  </si>
  <si>
    <t>{jsdata.day[1027].absences[1].absenceType}</t>
  </si>
  <si>
    <t>{jsdata.day[1028].absences[0].absenceType}</t>
  </si>
  <si>
    <t>{jsdata.day[1028].absences[1].absenceType}</t>
  </si>
  <si>
    <t>{jsdata.day[1029].absences[0].absenceType}</t>
  </si>
  <si>
    <t>{jsdata.day[1029].absences[1].absenceType}</t>
  </si>
  <si>
    <t>{jsdata.day[1030].absences[0].absenceType}</t>
  </si>
  <si>
    <t>{jsdata.day[1030].absences[1].absenceType}</t>
  </si>
  <si>
    <t>{jsdata.day[1031].absences[0].absenceType}</t>
  </si>
  <si>
    <t>{jsdata.day[1031].absences[1].absenceType}</t>
  </si>
  <si>
    <t>{jsdata.day[1032].absences[0].absenceType}</t>
  </si>
  <si>
    <t>{jsdata.day[1032].absences[1].absenceType}</t>
  </si>
  <si>
    <t>{jsdata.day[1033].absences[0].absenceType}</t>
  </si>
  <si>
    <t>{jsdata.day[1033].absences[1].absenceType}</t>
  </si>
  <si>
    <t>{jsdata.day[1034].absences[0].absenceType}</t>
  </si>
  <si>
    <t>{jsdata.day[1034].absences[1].absenceType}</t>
  </si>
  <si>
    <t>{jsdata.day[1035].absences[0].absenceType}</t>
  </si>
  <si>
    <t>{jsdata.day[1035].absences[1].absenceType}</t>
  </si>
  <si>
    <t>{jsdata.day[1036].absences[0].absenceType}</t>
  </si>
  <si>
    <t>{jsdata.day[1036].absences[1].absenceType}</t>
  </si>
  <si>
    <t>{jsdata.day[1037].absences[0].absenceType}</t>
  </si>
  <si>
    <t>{jsdata.day[1037].absences[1].absenceType}</t>
  </si>
  <si>
    <t>{jsdata.day[1038].absences[0].absenceType}</t>
  </si>
  <si>
    <t>{jsdata.day[1038].absences[1].absenceType}</t>
  </si>
  <si>
    <t>{jsdata.day[1039].absences[0].absenceType}</t>
  </si>
  <si>
    <t>{jsdata.day[1039].absences[1].absenceType}</t>
  </si>
  <si>
    <t>{jsdata.day[1040].absences[0].absenceType}</t>
  </si>
  <si>
    <t>{jsdata.day[1040].absences[1].absenceType}</t>
  </si>
  <si>
    <t>{jsdata.day[1041].absences[0].absenceType}</t>
  </si>
  <si>
    <t>{jsdata.day[1041].absences[1].absenceType}</t>
  </si>
  <si>
    <t>{jsdata.day[1042].absences[0].absenceType}</t>
  </si>
  <si>
    <t>{jsdata.day[1042].absences[1].absenceType}</t>
  </si>
  <si>
    <t>{jsdata.day[1043].absences[0].absenceType}</t>
  </si>
  <si>
    <t>{jsdata.day[1043].absences[1].absenceType}</t>
  </si>
  <si>
    <t>{jsdata.day[1044].absences[0].absenceType}</t>
  </si>
  <si>
    <t>{jsdata.day[1044].absences[1].absenceType}</t>
  </si>
  <si>
    <t>{jsdata.day[1045].absences[0].absenceType}</t>
  </si>
  <si>
    <t>{jsdata.day[1045].absences[1].absenceType}</t>
  </si>
  <si>
    <t>{jsdata.day[1046].absences[0].absenceType}</t>
  </si>
  <si>
    <t>{jsdata.day[1046].absences[1].absenceType}</t>
  </si>
  <si>
    <t>{jsdata.day[1047].absences[0].absenceType}</t>
  </si>
  <si>
    <t>{jsdata.day[1047].absences[1].absenceType}</t>
  </si>
  <si>
    <t>{jsdata.day[1048].absences[0].absenceType}</t>
  </si>
  <si>
    <t>{jsdata.day[1048].absences[1].absenceType}</t>
  </si>
  <si>
    <t>{jsdata.day[1049].absences[0].absenceType}</t>
  </si>
  <si>
    <t>{jsdata.day[1049].absences[1].absenceType}</t>
  </si>
  <si>
    <t>{jsdata.day[1050].absences[0].absenceType}</t>
  </si>
  <si>
    <t>{jsdata.day[1050].absences[1].absenceType}</t>
  </si>
  <si>
    <t>{jsdata.day[1051].absences[0].absenceType}</t>
  </si>
  <si>
    <t>{jsdata.day[1051].absences[1].absenceType}</t>
  </si>
  <si>
    <t>{jsdata.day[1052].absences[0].absenceType}</t>
  </si>
  <si>
    <t>{jsdata.day[1052].absences[1].absenceType}</t>
  </si>
  <si>
    <t>{jsdata.day[1053].absences[0].absenceType}</t>
  </si>
  <si>
    <t>{jsdata.day[1053].absences[1].absenceType}</t>
  </si>
  <si>
    <t>{jsdata.day[1054].absences[0].absenceType}</t>
  </si>
  <si>
    <t>{jsdata.day[1054].absences[1].absenceType}</t>
  </si>
  <si>
    <t>{jsdata.day[1055].absences[0].absenceType}</t>
  </si>
  <si>
    <t>{jsdata.day[1055].absences[1].absenceType}</t>
  </si>
  <si>
    <t>{jsdata.day[1056].absences[0].absenceType}</t>
  </si>
  <si>
    <t>{jsdata.day[1056].absences[1].absenceType}</t>
  </si>
  <si>
    <t>{jsdata.day[1057].absences[0].absenceType}</t>
  </si>
  <si>
    <t>{jsdata.day[1057].absences[1].absenceType}</t>
  </si>
  <si>
    <t>{jsdata.day[1058].absences[0].absenceType}</t>
  </si>
  <si>
    <t>{jsdata.day[1058].absences[1].absenceType}</t>
  </si>
  <si>
    <t>{jsdata.day[1059].absences[0].absenceType}</t>
  </si>
  <si>
    <t>{jsdata.day[1059].absences[1].absenceType}</t>
  </si>
  <si>
    <t>{jsdata.day[1060].absences[0].absenceType}</t>
  </si>
  <si>
    <t>{jsdata.day[1060].absences[1].absenceType}</t>
  </si>
  <si>
    <t>{jsdata.day[1061].absences[0].absenceType}</t>
  </si>
  <si>
    <t>{jsdata.day[1061].absences[1].absenceType}</t>
  </si>
  <si>
    <t>{jsdata.day[1062].absences[0].absenceType}</t>
  </si>
  <si>
    <t>{jsdata.day[1062].absences[1].absenceType}</t>
  </si>
  <si>
    <t>{jsdata.day[1063].absences[0].absenceType}</t>
  </si>
  <si>
    <t>{jsdata.day[1063].absences[1].absenceType}</t>
  </si>
  <si>
    <t>{jsdata.day[1064].absences[0].absenceType}</t>
  </si>
  <si>
    <t>{jsdata.day[1064].absences[1].absenceType}</t>
  </si>
  <si>
    <t>{jsdata.day[1065].absences[0].absenceType}</t>
  </si>
  <si>
    <t>{jsdata.day[1065].absences[1].absenceType}</t>
  </si>
  <si>
    <t>{jsdata.day[1066].absences[0].absenceType}</t>
  </si>
  <si>
    <t>{jsdata.day[1066].absences[1].absenceType}</t>
  </si>
  <si>
    <t>{jsdata.day[1067].absences[0].absenceType}</t>
  </si>
  <si>
    <t>{jsdata.day[1067].absences[1].absenceType}</t>
  </si>
  <si>
    <t>{jsdata.day[1068].absences[0].absenceType}</t>
  </si>
  <si>
    <t>{jsdata.day[1068].absences[1].absenceType}</t>
  </si>
  <si>
    <t>{jsdata.day[1069].absences[0].absenceType}</t>
  </si>
  <si>
    <t>{jsdata.day[1069].absences[1].absenceType}</t>
  </si>
  <si>
    <t>{jsdata.day[1070].absences[0].absenceType}</t>
  </si>
  <si>
    <t>{jsdata.day[1070].absences[1].absenceType}</t>
  </si>
  <si>
    <t>{jsdata.day[1071].absences[0].absenceType}</t>
  </si>
  <si>
    <t>{jsdata.day[1071].absences[1].absenceType}</t>
  </si>
  <si>
    <t>{jsdata.day[1072].absences[0].absenceType}</t>
  </si>
  <si>
    <t>{jsdata.day[1072].absences[1].absenceType}</t>
  </si>
  <si>
    <t>{jsdata.day[1073].absences[0].absenceType}</t>
  </si>
  <si>
    <t>{jsdata.day[1073].absences[1].absenceType}</t>
  </si>
  <si>
    <t>{jsdata.day[1074].absences[0].absenceType}</t>
  </si>
  <si>
    <t>{jsdata.day[1074].absences[1].absenceType}</t>
  </si>
  <si>
    <t>{jsdata.day[1075].absences[0].absenceType}</t>
  </si>
  <si>
    <t>{jsdata.day[1075].absences[1].absenceType}</t>
  </si>
  <si>
    <t>{jsdata.day[1076].absences[0].absenceType}</t>
  </si>
  <si>
    <t>{jsdata.day[1076].absences[1].absenceType}</t>
  </si>
  <si>
    <t>{jsdata.day[1077].absences[0].absenceType}</t>
  </si>
  <si>
    <t>{jsdata.day[1077].absences[1].absenceType}</t>
  </si>
  <si>
    <t>{jsdata.day[1078].absences[0].absenceType}</t>
  </si>
  <si>
    <t>{jsdata.day[1078].absences[1].absenceType}</t>
  </si>
  <si>
    <t>{jsdata.day[1079].absences[0].absenceType}</t>
  </si>
  <si>
    <t>{jsdata.day[1079].absences[1].absenceType}</t>
  </si>
  <si>
    <t>{jsdata.day[1080].absences[0].absenceType}</t>
  </si>
  <si>
    <t>{jsdata.day[1080].absences[1].absenceType}</t>
  </si>
  <si>
    <t>{jsdata.day[1081].absences[0].absenceType}</t>
  </si>
  <si>
    <t>{jsdata.day[1081].absences[1].absenceType}</t>
  </si>
  <si>
    <t>{jsdata.day[1082].absences[0].absenceType}</t>
  </si>
  <si>
    <t>{jsdata.day[1082].absences[1].absenceType}</t>
  </si>
  <si>
    <t>{jsdata.day[1083].absences[0].absenceType}</t>
  </si>
  <si>
    <t>{jsdata.day[1083].absences[1].absenceType}</t>
  </si>
  <si>
    <t>{jsdata.day[1084].absences[0].absenceType}</t>
  </si>
  <si>
    <t>{jsdata.day[1084].absences[1].absenceType}</t>
  </si>
  <si>
    <t>{jsdata.day[1085].absences[0].absenceType}</t>
  </si>
  <si>
    <t>{jsdata.day[1085].absences[1].absenceType}</t>
  </si>
  <si>
    <t>{jsdata.day[1086].absences[0].absenceType}</t>
  </si>
  <si>
    <t>{jsdata.day[1086].absences[1].absenceType}</t>
  </si>
  <si>
    <t>{jsdata.day[1087].absences[0].absenceType}</t>
  </si>
  <si>
    <t>{jsdata.day[1087].absences[1].absenceType}</t>
  </si>
  <si>
    <t>{jsdata.day[1088].absences[0].absenceType}</t>
  </si>
  <si>
    <t>{jsdata.day[1088].absences[1].absenceType}</t>
  </si>
  <si>
    <t>{jsdata.day[1089].absences[0].absenceType}</t>
  </si>
  <si>
    <t>{jsdata.day[1089].absences[1].absenceType}</t>
  </si>
  <si>
    <t>{jsdata.day[1090].absences[0].absenceType}</t>
  </si>
  <si>
    <t>{jsdata.day[1090].absences[1].absenceType}</t>
  </si>
  <si>
    <t>{jsdata.day[1091].absences[0].absenceType}</t>
  </si>
  <si>
    <t>{jsdata.day[1091].absences[1].absenceType}</t>
  </si>
  <si>
    <t>{jsdata.day[1092].absences[0].absenceType}</t>
  </si>
  <si>
    <t>{jsdata.day[1092].absences[1].absenceType}</t>
  </si>
  <si>
    <t>{jsdata.day[1093].absences[0].absenceType}</t>
  </si>
  <si>
    <t>{jsdata.day[1093].absences[1].absenceType}</t>
  </si>
  <si>
    <t>{jsdata.day[1094].absences[0].absenceType}</t>
  </si>
  <si>
    <t>{jsdata.day[1094].absences[1].absenceType}</t>
  </si>
  <si>
    <t>{jsdata.day[1095].absences[0].absenceType}</t>
  </si>
  <si>
    <t>{jsdata.day[1095].absences[1].absenceType}</t>
  </si>
  <si>
    <t>month</t>
  </si>
  <si>
    <t>{jsdata.year}</t>
  </si>
  <si>
    <t>{jsdata.months[0].month}</t>
  </si>
  <si>
    <t>{jsdata.months[0].absences[0].duration}</t>
  </si>
  <si>
    <t>{jsdata.months[0].absences[1].duration}</t>
  </si>
  <si>
    <t>{jsdata.months[0].absences[2].duration}</t>
  </si>
  <si>
    <t>{jsdata.months[0].absences[3].duration}</t>
  </si>
  <si>
    <t>{jsdata.months[0].absences[4].duration}</t>
  </si>
  <si>
    <t>{jsdata.months[0].absences[5].duration}</t>
  </si>
  <si>
    <t>{jsdata.months[0].absences[6].duration}</t>
  </si>
  <si>
    <t>{jsdata.months[0].absences[7].duration}</t>
  </si>
  <si>
    <t>{jsdata.months[0].absences[8].duration}</t>
  </si>
  <si>
    <t>{jsdata.months[0].absences[9].duration}</t>
  </si>
  <si>
    <t>{jsdata.months[0].absences[10].duration}</t>
  </si>
  <si>
    <t>{jsdata.months[0].absences[11].duration}</t>
  </si>
  <si>
    <t>{jsdata.months[0].absences[12].duration}</t>
  </si>
  <si>
    <t>{jsdata.months[0].absences[13].duration}</t>
  </si>
  <si>
    <t>{jsdata.months[0].absences[14].duration}</t>
  </si>
  <si>
    <t>{jsdata.months[0].absences[15].duration}</t>
  </si>
  <si>
    <t>{jsdata.months[0].absences[16].duration}</t>
  </si>
  <si>
    <t>{jsdata.months[0].absences[17].duration}</t>
  </si>
  <si>
    <t>{jsdata.months[0].absences[18].duration}</t>
  </si>
  <si>
    <t>{jsdata.months[0].absences[19].duration}</t>
  </si>
  <si>
    <t>{jsdata.months[0].times.duration}</t>
  </si>
  <si>
    <t>{jsdata.months[1].month}</t>
  </si>
  <si>
    <t>{jsdata.months[1].absences[0].duration}</t>
  </si>
  <si>
    <t>{jsdata.months[1].absences[1].duration}</t>
  </si>
  <si>
    <t>{jsdata.months[1].absences[2].duration}</t>
  </si>
  <si>
    <t>{jsdata.months[1].absences[3].duration}</t>
  </si>
  <si>
    <t>{jsdata.months[1].absences[4].duration}</t>
  </si>
  <si>
    <t>{jsdata.months[1].absences[5].duration}</t>
  </si>
  <si>
    <t>{jsdata.months[1].absences[6].duration}</t>
  </si>
  <si>
    <t>{jsdata.months[1].absences[7].duration}</t>
  </si>
  <si>
    <t>{jsdata.months[1].absences[8].duration}</t>
  </si>
  <si>
    <t>{jsdata.months[1].absences[9].duration}</t>
  </si>
  <si>
    <t>{jsdata.months[1].absences[10].duration}</t>
  </si>
  <si>
    <t>{jsdata.months[1].absences[11].duration}</t>
  </si>
  <si>
    <t>{jsdata.months[1].absences[12].duration}</t>
  </si>
  <si>
    <t>{jsdata.months[1].absences[13].duration}</t>
  </si>
  <si>
    <t>{jsdata.months[1].absences[14].duration}</t>
  </si>
  <si>
    <t>{jsdata.months[1].absences[15].duration}</t>
  </si>
  <si>
    <t>{jsdata.months[1].absences[16].duration}</t>
  </si>
  <si>
    <t>{jsdata.months[1].absences[17].duration}</t>
  </si>
  <si>
    <t>{jsdata.months[1].absences[18].duration}</t>
  </si>
  <si>
    <t>{jsdata.months[1].absences[19].duration}</t>
  </si>
  <si>
    <t>{jsdata.months[1].times.duration}</t>
  </si>
  <si>
    <t>{jsdata.months[2].month}</t>
  </si>
  <si>
    <t>{jsdata.months[2].absences[0].duration}</t>
  </si>
  <si>
    <t>{jsdata.months[2].absences[1].duration}</t>
  </si>
  <si>
    <t>{jsdata.months[2].absences[2].duration}</t>
  </si>
  <si>
    <t>{jsdata.months[2].absences[3].duration}</t>
  </si>
  <si>
    <t>{jsdata.months[2].absences[4].duration}</t>
  </si>
  <si>
    <t>{jsdata.months[2].absences[5].duration}</t>
  </si>
  <si>
    <t>{jsdata.months[2].absences[6].duration}</t>
  </si>
  <si>
    <t>{jsdata.months[2].absences[7].duration}</t>
  </si>
  <si>
    <t>{jsdata.months[2].absences[8].duration}</t>
  </si>
  <si>
    <t>{jsdata.months[2].absences[9].duration}</t>
  </si>
  <si>
    <t>{jsdata.months[2].absences[10].duration}</t>
  </si>
  <si>
    <t>{jsdata.months[2].absences[11].duration}</t>
  </si>
  <si>
    <t>{jsdata.months[2].absences[12].duration}</t>
  </si>
  <si>
    <t>{jsdata.months[2].absences[13].duration}</t>
  </si>
  <si>
    <t>{jsdata.months[2].absences[14].duration}</t>
  </si>
  <si>
    <t>{jsdata.months[2].absences[15].duration}</t>
  </si>
  <si>
    <t>{jsdata.months[2].absences[16].duration}</t>
  </si>
  <si>
    <t>{jsdata.months[2].absences[17].duration}</t>
  </si>
  <si>
    <t>{jsdata.months[2].absences[18].duration}</t>
  </si>
  <si>
    <t>{jsdata.months[2].absences[19].duration}</t>
  </si>
  <si>
    <t>{jsdata.months[2].times.duration}</t>
  </si>
  <si>
    <t>{jsdata.months[3].month}</t>
  </si>
  <si>
    <t>{jsdata.months[3].absences[0].duration}</t>
  </si>
  <si>
    <t>{jsdata.months[3].absences[1].duration}</t>
  </si>
  <si>
    <t>{jsdata.months[3].absences[2].duration}</t>
  </si>
  <si>
    <t>{jsdata.months[3].absences[3].duration}</t>
  </si>
  <si>
    <t>{jsdata.months[3].absences[4].duration}</t>
  </si>
  <si>
    <t>{jsdata.months[3].absences[5].duration}</t>
  </si>
  <si>
    <t>{jsdata.months[3].absences[6].duration}</t>
  </si>
  <si>
    <t>{jsdata.months[3].absences[7].duration}</t>
  </si>
  <si>
    <t>{jsdata.months[3].absences[8].duration}</t>
  </si>
  <si>
    <t>{jsdata.months[3].absences[9].duration}</t>
  </si>
  <si>
    <t>{jsdata.months[3].absences[10].duration}</t>
  </si>
  <si>
    <t>{jsdata.months[3].absences[11].duration}</t>
  </si>
  <si>
    <t>{jsdata.months[3].absences[12].duration}</t>
  </si>
  <si>
    <t>{jsdata.months[3].absences[13].duration}</t>
  </si>
  <si>
    <t>{jsdata.months[3].absences[14].duration}</t>
  </si>
  <si>
    <t>{jsdata.months[3].absences[15].duration}</t>
  </si>
  <si>
    <t>{jsdata.months[3].absences[16].duration}</t>
  </si>
  <si>
    <t>{jsdata.months[3].absences[17].duration}</t>
  </si>
  <si>
    <t>{jsdata.months[3].absences[18].duration}</t>
  </si>
  <si>
    <t>{jsdata.months[3].absences[19].duration}</t>
  </si>
  <si>
    <t>{jsdata.months[3].times.duration}</t>
  </si>
  <si>
    <t>{jsdata.months[4].month}</t>
  </si>
  <si>
    <t>{jsdata.months[4].absences[0].duration}</t>
  </si>
  <si>
    <t>{jsdata.months[4].absences[1].duration}</t>
  </si>
  <si>
    <t>{jsdata.months[4].absences[2].duration}</t>
  </si>
  <si>
    <t>{jsdata.months[4].absences[3].duration}</t>
  </si>
  <si>
    <t>{jsdata.months[4].absences[4].duration}</t>
  </si>
  <si>
    <t>{jsdata.months[4].absences[5].duration}</t>
  </si>
  <si>
    <t>{jsdata.months[4].absences[6].duration}</t>
  </si>
  <si>
    <t>{jsdata.months[4].absences[7].duration}</t>
  </si>
  <si>
    <t>{jsdata.months[4].absences[8].duration}</t>
  </si>
  <si>
    <t>{jsdata.months[4].absences[9].duration}</t>
  </si>
  <si>
    <t>{jsdata.months[4].absences[10].duration}</t>
  </si>
  <si>
    <t>{jsdata.months[4].absences[11].duration}</t>
  </si>
  <si>
    <t>{jsdata.months[4].absences[12].duration}</t>
  </si>
  <si>
    <t>{jsdata.months[4].absences[13].duration}</t>
  </si>
  <si>
    <t>{jsdata.months[4].absences[14].duration}</t>
  </si>
  <si>
    <t>{jsdata.months[4].absences[15].duration}</t>
  </si>
  <si>
    <t>{jsdata.months[4].absences[16].duration}</t>
  </si>
  <si>
    <t>{jsdata.months[4].absences[17].duration}</t>
  </si>
  <si>
    <t>{jsdata.months[4].absences[18].duration}</t>
  </si>
  <si>
    <t>{jsdata.months[4].absences[19].duration}</t>
  </si>
  <si>
    <t>{jsdata.months[4].times.duration}</t>
  </si>
  <si>
    <t>{jsdata.months[5].month}</t>
  </si>
  <si>
    <t>{jsdata.months[5].absences[0].duration}</t>
  </si>
  <si>
    <t>{jsdata.months[5].absences[1].duration}</t>
  </si>
  <si>
    <t>{jsdata.months[5].absences[2].duration}</t>
  </si>
  <si>
    <t>{jsdata.months[5].absences[3].duration}</t>
  </si>
  <si>
    <t>{jsdata.months[5].absences[4].duration}</t>
  </si>
  <si>
    <t>{jsdata.months[5].absences[5].duration}</t>
  </si>
  <si>
    <t>{jsdata.months[5].absences[6].duration}</t>
  </si>
  <si>
    <t>{jsdata.months[5].absences[7].duration}</t>
  </si>
  <si>
    <t>{jsdata.months[5].absences[8].duration}</t>
  </si>
  <si>
    <t>{jsdata.months[5].absences[9].duration}</t>
  </si>
  <si>
    <t>{jsdata.months[5].absences[10].duration}</t>
  </si>
  <si>
    <t>{jsdata.months[5].absences[11].duration}</t>
  </si>
  <si>
    <t>{jsdata.months[5].absences[12].duration}</t>
  </si>
  <si>
    <t>{jsdata.months[5].absences[13].duration}</t>
  </si>
  <si>
    <t>{jsdata.months[5].absences[14].duration}</t>
  </si>
  <si>
    <t>{jsdata.months[5].absences[15].duration}</t>
  </si>
  <si>
    <t>{jsdata.months[5].absences[16].duration}</t>
  </si>
  <si>
    <t>{jsdata.months[5].absences[17].duration}</t>
  </si>
  <si>
    <t>{jsdata.months[5].absences[18].duration}</t>
  </si>
  <si>
    <t>{jsdata.months[5].absences[19].duration}</t>
  </si>
  <si>
    <t>{jsdata.months[5].times.duration}</t>
  </si>
  <si>
    <t>{jsdata.months[6].month}</t>
  </si>
  <si>
    <t>{jsdata.months[6].absences[0].duration}</t>
  </si>
  <si>
    <t>{jsdata.months[6].absences[1].duration}</t>
  </si>
  <si>
    <t>{jsdata.months[6].absences[2].duration}</t>
  </si>
  <si>
    <t>{jsdata.months[6].absences[3].duration}</t>
  </si>
  <si>
    <t>{jsdata.months[6].absences[4].duration}</t>
  </si>
  <si>
    <t>{jsdata.months[6].absences[5].duration}</t>
  </si>
  <si>
    <t>{jsdata.months[6].absences[6].duration}</t>
  </si>
  <si>
    <t>{jsdata.months[6].absences[7].duration}</t>
  </si>
  <si>
    <t>{jsdata.months[6].absences[8].duration}</t>
  </si>
  <si>
    <t>{jsdata.months[6].absences[9].duration}</t>
  </si>
  <si>
    <t>{jsdata.months[6].absences[10].duration}</t>
  </si>
  <si>
    <t>{jsdata.months[6].absences[11].duration}</t>
  </si>
  <si>
    <t>{jsdata.months[6].absences[12].duration}</t>
  </si>
  <si>
    <t>{jsdata.months[6].absences[13].duration}</t>
  </si>
  <si>
    <t>{jsdata.months[6].absences[14].duration}</t>
  </si>
  <si>
    <t>{jsdata.months[6].absences[15].duration}</t>
  </si>
  <si>
    <t>{jsdata.months[6].absences[16].duration}</t>
  </si>
  <si>
    <t>{jsdata.months[6].absences[17].duration}</t>
  </si>
  <si>
    <t>{jsdata.months[6].absences[18].duration}</t>
  </si>
  <si>
    <t>{jsdata.months[6].absences[19].duration}</t>
  </si>
  <si>
    <t>{jsdata.months[6].times.duration}</t>
  </si>
  <si>
    <t>{jsdata.months[7].month}</t>
  </si>
  <si>
    <t>{jsdata.months[7].absences[0].duration}</t>
  </si>
  <si>
    <t>{jsdata.months[7].absences[1].duration}</t>
  </si>
  <si>
    <t>{jsdata.months[7].absences[2].duration}</t>
  </si>
  <si>
    <t>{jsdata.months[7].absences[3].duration}</t>
  </si>
  <si>
    <t>{jsdata.months[7].absences[4].duration}</t>
  </si>
  <si>
    <t>{jsdata.months[7].absences[5].duration}</t>
  </si>
  <si>
    <t>{jsdata.months[7].absences[6].duration}</t>
  </si>
  <si>
    <t>{jsdata.months[7].absences[7].duration}</t>
  </si>
  <si>
    <t>{jsdata.months[7].absences[8].duration}</t>
  </si>
  <si>
    <t>{jsdata.months[7].absences[9].duration}</t>
  </si>
  <si>
    <t>{jsdata.months[7].absences[10].duration}</t>
  </si>
  <si>
    <t>{jsdata.months[7].absences[11].duration}</t>
  </si>
  <si>
    <t>{jsdata.months[7].absences[12].duration}</t>
  </si>
  <si>
    <t>{jsdata.months[7].absences[13].duration}</t>
  </si>
  <si>
    <t>{jsdata.months[7].absences[14].duration}</t>
  </si>
  <si>
    <t>{jsdata.months[7].absences[15].duration}</t>
  </si>
  <si>
    <t>{jsdata.months[7].absences[16].duration}</t>
  </si>
  <si>
    <t>{jsdata.months[7].absences[17].duration}</t>
  </si>
  <si>
    <t>{jsdata.months[7].absences[18].duration}</t>
  </si>
  <si>
    <t>{jsdata.months[7].absences[19].duration}</t>
  </si>
  <si>
    <t>{jsdata.months[7].times.duration}</t>
  </si>
  <si>
    <t>{jsdata.months[8].month}</t>
  </si>
  <si>
    <t>{jsdata.months[8].absences[0].duration}</t>
  </si>
  <si>
    <t>{jsdata.months[8].absences[1].duration}</t>
  </si>
  <si>
    <t>{jsdata.months[8].absences[2].duration}</t>
  </si>
  <si>
    <t>{jsdata.months[8].absences[3].duration}</t>
  </si>
  <si>
    <t>{jsdata.months[8].absences[4].duration}</t>
  </si>
  <si>
    <t>{jsdata.months[8].absences[5].duration}</t>
  </si>
  <si>
    <t>{jsdata.months[8].absences[6].duration}</t>
  </si>
  <si>
    <t>{jsdata.months[8].absences[7].duration}</t>
  </si>
  <si>
    <t>{jsdata.months[8].absences[8].duration}</t>
  </si>
  <si>
    <t>{jsdata.months[8].absences[9].duration}</t>
  </si>
  <si>
    <t>{jsdata.months[8].absences[10].duration}</t>
  </si>
  <si>
    <t>{jsdata.months[8].absences[11].duration}</t>
  </si>
  <si>
    <t>{jsdata.months[8].absences[12].duration}</t>
  </si>
  <si>
    <t>{jsdata.months[8].absences[13].duration}</t>
  </si>
  <si>
    <t>{jsdata.months[8].absences[14].duration}</t>
  </si>
  <si>
    <t>{jsdata.months[8].absences[15].duration}</t>
  </si>
  <si>
    <t>{jsdata.months[8].absences[16].duration}</t>
  </si>
  <si>
    <t>{jsdata.months[8].absences[17].duration}</t>
  </si>
  <si>
    <t>{jsdata.months[8].absences[18].duration}</t>
  </si>
  <si>
    <t>{jsdata.months[8].absences[19].duration}</t>
  </si>
  <si>
    <t>{jsdata.months[8].times.duration}</t>
  </si>
  <si>
    <t>{jsdata.months[9].month}</t>
  </si>
  <si>
    <t>{jsdata.months[9].absences[0].duration}</t>
  </si>
  <si>
    <t>{jsdata.months[9].absences[1].duration}</t>
  </si>
  <si>
    <t>{jsdata.months[9].absences[2].duration}</t>
  </si>
  <si>
    <t>{jsdata.months[9].absences[3].duration}</t>
  </si>
  <si>
    <t>{jsdata.months[9].absences[4].duration}</t>
  </si>
  <si>
    <t>{jsdata.months[9].absences[5].duration}</t>
  </si>
  <si>
    <t>{jsdata.months[9].absences[6].duration}</t>
  </si>
  <si>
    <t>{jsdata.months[9].absences[7].duration}</t>
  </si>
  <si>
    <t>{jsdata.months[9].absences[8].duration}</t>
  </si>
  <si>
    <t>{jsdata.months[9].absences[9].duration}</t>
  </si>
  <si>
    <t>{jsdata.months[9].absences[10].duration}</t>
  </si>
  <si>
    <t>{jsdata.months[9].absences[11].duration}</t>
  </si>
  <si>
    <t>{jsdata.months[9].absences[12].duration}</t>
  </si>
  <si>
    <t>{jsdata.months[9].absences[13].duration}</t>
  </si>
  <si>
    <t>{jsdata.months[9].absences[14].duration}</t>
  </si>
  <si>
    <t>{jsdata.months[9].absences[15].duration}</t>
  </si>
  <si>
    <t>{jsdata.months[9].absences[16].duration}</t>
  </si>
  <si>
    <t>{jsdata.months[9].absences[17].duration}</t>
  </si>
  <si>
    <t>{jsdata.months[9].absences[18].duration}</t>
  </si>
  <si>
    <t>{jsdata.months[9].absences[19].duration}</t>
  </si>
  <si>
    <t>{jsdata.months[9].times.duration}</t>
  </si>
  <si>
    <t>{jsdata.months[10].month}</t>
  </si>
  <si>
    <t>{jsdata.months[10].absences[0].duration}</t>
  </si>
  <si>
    <t>{jsdata.months[10].absences[1].duration}</t>
  </si>
  <si>
    <t>{jsdata.months[10].absences[2].duration}</t>
  </si>
  <si>
    <t>{jsdata.months[10].absences[3].duration}</t>
  </si>
  <si>
    <t>{jsdata.months[10].absences[4].duration}</t>
  </si>
  <si>
    <t>{jsdata.months[10].absences[5].duration}</t>
  </si>
  <si>
    <t>{jsdata.months[10].absences[6].duration}</t>
  </si>
  <si>
    <t>{jsdata.months[10].absences[7].duration}</t>
  </si>
  <si>
    <t>{jsdata.months[10].absences[8].duration}</t>
  </si>
  <si>
    <t>{jsdata.months[10].absences[9].duration}</t>
  </si>
  <si>
    <t>{jsdata.months[10].absences[10].duration}</t>
  </si>
  <si>
    <t>{jsdata.months[10].absences[11].duration}</t>
  </si>
  <si>
    <t>{jsdata.months[10].absences[12].duration}</t>
  </si>
  <si>
    <t>{jsdata.months[10].absences[13].duration}</t>
  </si>
  <si>
    <t>{jsdata.months[10].absences[14].duration}</t>
  </si>
  <si>
    <t>{jsdata.months[10].absences[15].duration}</t>
  </si>
  <si>
    <t>{jsdata.months[10].absences[16].duration}</t>
  </si>
  <si>
    <t>{jsdata.months[10].absences[17].duration}</t>
  </si>
  <si>
    <t>{jsdata.months[10].absences[18].duration}</t>
  </si>
  <si>
    <t>{jsdata.months[10].absences[19].duration}</t>
  </si>
  <si>
    <t>{jsdata.months[10].times.duration}</t>
  </si>
  <si>
    <t>{jsdata.months[11].month}</t>
  </si>
  <si>
    <t>{jsdata.months[11].absences[0].duration}</t>
  </si>
  <si>
    <t>{jsdata.months[11].absences[1].duration}</t>
  </si>
  <si>
    <t>{jsdata.months[11].absences[2].duration}</t>
  </si>
  <si>
    <t>{jsdata.months[11].absences[3].duration}</t>
  </si>
  <si>
    <t>{jsdata.months[11].absences[4].duration}</t>
  </si>
  <si>
    <t>{jsdata.months[11].absences[5].duration}</t>
  </si>
  <si>
    <t>{jsdata.months[11].absences[6].duration}</t>
  </si>
  <si>
    <t>{jsdata.months[11].absences[7].duration}</t>
  </si>
  <si>
    <t>{jsdata.months[11].absences[8].duration}</t>
  </si>
  <si>
    <t>{jsdata.months[11].absences[9].duration}</t>
  </si>
  <si>
    <t>{jsdata.months[11].absences[10].duration}</t>
  </si>
  <si>
    <t>{jsdata.months[11].absences[11].duration}</t>
  </si>
  <si>
    <t>{jsdata.months[11].absences[12].duration}</t>
  </si>
  <si>
    <t>{jsdata.months[11].absences[13].duration}</t>
  </si>
  <si>
    <t>{jsdata.months[11].absences[14].duration}</t>
  </si>
  <si>
    <t>{jsdata.months[11].absences[15].duration}</t>
  </si>
  <si>
    <t>{jsdata.months[11].absences[16].duration}</t>
  </si>
  <si>
    <t>{jsdata.months[11].absences[17].duration}</t>
  </si>
  <si>
    <t>{jsdata.months[11].absences[18].duration}</t>
  </si>
  <si>
    <t>{jsdata.months[11].absences[19].duration}</t>
  </si>
  <si>
    <t>{jsdata.months[11].times.duration}</t>
  </si>
  <si>
    <t>{jsdata.months[12].month}</t>
  </si>
  <si>
    <t>{jsdata.months[12].absences[0].duration}</t>
  </si>
  <si>
    <t>{jsdata.months[12].absences[1].duration}</t>
  </si>
  <si>
    <t>{jsdata.months[12].absences[2].duration}</t>
  </si>
  <si>
    <t>{jsdata.months[12].absences[3].duration}</t>
  </si>
  <si>
    <t>{jsdata.months[12].absences[4].duration}</t>
  </si>
  <si>
    <t>{jsdata.months[12].absences[5].duration}</t>
  </si>
  <si>
    <t>{jsdata.months[12].absences[6].duration}</t>
  </si>
  <si>
    <t>{jsdata.months[12].absences[7].duration}</t>
  </si>
  <si>
    <t>{jsdata.months[12].absences[8].duration}</t>
  </si>
  <si>
    <t>{jsdata.months[12].absences[9].duration}</t>
  </si>
  <si>
    <t>{jsdata.months[12].absences[10].duration}</t>
  </si>
  <si>
    <t>{jsdata.months[12].absences[11].duration}</t>
  </si>
  <si>
    <t>{jsdata.months[12].absences[12].duration}</t>
  </si>
  <si>
    <t>{jsdata.months[12].absences[13].duration}</t>
  </si>
  <si>
    <t>{jsdata.months[12].absences[14].duration}</t>
  </si>
  <si>
    <t>{jsdata.months[12].absences[15].duration}</t>
  </si>
  <si>
    <t>{jsdata.months[12].absences[16].duration}</t>
  </si>
  <si>
    <t>{jsdata.months[12].absences[17].duration}</t>
  </si>
  <si>
    <t>{jsdata.months[12].absences[18].duration}</t>
  </si>
  <si>
    <t>{jsdata.months[12].absences[19].duration}</t>
  </si>
  <si>
    <t>{jsdata.months[12].times.duration}</t>
  </si>
  <si>
    <t>{jsdata.months[13].month}</t>
  </si>
  <si>
    <t>{jsdata.months[13].absences[0].duration}</t>
  </si>
  <si>
    <t>{jsdata.months[13].absences[1].duration}</t>
  </si>
  <si>
    <t>{jsdata.months[13].absences[2].duration}</t>
  </si>
  <si>
    <t>{jsdata.months[13].absences[3].duration}</t>
  </si>
  <si>
    <t>{jsdata.months[13].absences[4].duration}</t>
  </si>
  <si>
    <t>{jsdata.months[13].absences[5].duration}</t>
  </si>
  <si>
    <t>{jsdata.months[13].absences[6].duration}</t>
  </si>
  <si>
    <t>{jsdata.months[13].absences[7].duration}</t>
  </si>
  <si>
    <t>{jsdata.months[13].absences[8].duration}</t>
  </si>
  <si>
    <t>{jsdata.months[13].absences[9].duration}</t>
  </si>
  <si>
    <t>{jsdata.months[13].absences[10].duration}</t>
  </si>
  <si>
    <t>{jsdata.months[13].absences[11].duration}</t>
  </si>
  <si>
    <t>{jsdata.months[13].absences[12].duration}</t>
  </si>
  <si>
    <t>{jsdata.months[13].absences[13].duration}</t>
  </si>
  <si>
    <t>{jsdata.months[13].absences[14].duration}</t>
  </si>
  <si>
    <t>{jsdata.months[13].absences[15].duration}</t>
  </si>
  <si>
    <t>{jsdata.months[13].absences[16].duration}</t>
  </si>
  <si>
    <t>{jsdata.months[13].absences[17].duration}</t>
  </si>
  <si>
    <t>{jsdata.months[13].absences[18].duration}</t>
  </si>
  <si>
    <t>{jsdata.months[13].absences[19].duration}</t>
  </si>
  <si>
    <t>{jsdata.months[13].times.duration}</t>
  </si>
  <si>
    <t>{jsdata.months[14].month}</t>
  </si>
  <si>
    <t>{jsdata.months[14].absences[0].duration}</t>
  </si>
  <si>
    <t>{jsdata.months[14].absences[1].duration}</t>
  </si>
  <si>
    <t>{jsdata.months[14].absences[2].duration}</t>
  </si>
  <si>
    <t>{jsdata.months[14].absences[3].duration}</t>
  </si>
  <si>
    <t>{jsdata.months[14].absences[4].duration}</t>
  </si>
  <si>
    <t>{jsdata.months[14].absences[5].duration}</t>
  </si>
  <si>
    <t>{jsdata.months[14].absences[6].duration}</t>
  </si>
  <si>
    <t>{jsdata.months[14].absences[7].duration}</t>
  </si>
  <si>
    <t>{jsdata.months[14].absences[8].duration}</t>
  </si>
  <si>
    <t>{jsdata.months[14].absences[9].duration}</t>
  </si>
  <si>
    <t>{jsdata.months[14].absences[10].duration}</t>
  </si>
  <si>
    <t>{jsdata.months[14].absences[11].duration}</t>
  </si>
  <si>
    <t>{jsdata.months[14].absences[12].duration}</t>
  </si>
  <si>
    <t>{jsdata.months[14].absences[13].duration}</t>
  </si>
  <si>
    <t>{jsdata.months[14].absences[14].duration}</t>
  </si>
  <si>
    <t>{jsdata.months[14].absences[15].duration}</t>
  </si>
  <si>
    <t>{jsdata.months[14].absences[16].duration}</t>
  </si>
  <si>
    <t>{jsdata.months[14].absences[17].duration}</t>
  </si>
  <si>
    <t>{jsdata.months[14].absences[18].duration}</t>
  </si>
  <si>
    <t>{jsdata.months[14].absences[19].duration}</t>
  </si>
  <si>
    <t>{jsdata.months[14].times.duration}</t>
  </si>
  <si>
    <t>{jsdata.months[15].month}</t>
  </si>
  <si>
    <t>{jsdata.months[15].absences[0].duration}</t>
  </si>
  <si>
    <t>{jsdata.months[15].absences[1].duration}</t>
  </si>
  <si>
    <t>{jsdata.months[15].absences[2].duration}</t>
  </si>
  <si>
    <t>{jsdata.months[15].absences[3].duration}</t>
  </si>
  <si>
    <t>{jsdata.months[15].absences[4].duration}</t>
  </si>
  <si>
    <t>{jsdata.months[15].absences[5].duration}</t>
  </si>
  <si>
    <t>{jsdata.months[15].absences[6].duration}</t>
  </si>
  <si>
    <t>{jsdata.months[15].absences[7].duration}</t>
  </si>
  <si>
    <t>{jsdata.months[15].absences[8].duration}</t>
  </si>
  <si>
    <t>{jsdata.months[15].absences[9].duration}</t>
  </si>
  <si>
    <t>{jsdata.months[15].absences[10].duration}</t>
  </si>
  <si>
    <t>{jsdata.months[15].absences[11].duration}</t>
  </si>
  <si>
    <t>{jsdata.months[15].absences[12].duration}</t>
  </si>
  <si>
    <t>{jsdata.months[15].absences[13].duration}</t>
  </si>
  <si>
    <t>{jsdata.months[15].absences[14].duration}</t>
  </si>
  <si>
    <t>{jsdata.months[15].absences[15].duration}</t>
  </si>
  <si>
    <t>{jsdata.months[15].absences[16].duration}</t>
  </si>
  <si>
    <t>{jsdata.months[15].absences[17].duration}</t>
  </si>
  <si>
    <t>{jsdata.months[15].absences[18].duration}</t>
  </si>
  <si>
    <t>{jsdata.months[15].absences[19].duration}</t>
  </si>
  <si>
    <t>{jsdata.months[15].times.duration}</t>
  </si>
  <si>
    <t>{jsdata.months[16].month}</t>
  </si>
  <si>
    <t>{jsdata.months[16].absences[0].duration}</t>
  </si>
  <si>
    <t>{jsdata.months[16].absences[1].duration}</t>
  </si>
  <si>
    <t>{jsdata.months[16].absences[2].duration}</t>
  </si>
  <si>
    <t>{jsdata.months[16].absences[3].duration}</t>
  </si>
  <si>
    <t>{jsdata.months[16].absences[4].duration}</t>
  </si>
  <si>
    <t>{jsdata.months[16].absences[5].duration}</t>
  </si>
  <si>
    <t>{jsdata.months[16].absences[6].duration}</t>
  </si>
  <si>
    <t>{jsdata.months[16].absences[7].duration}</t>
  </si>
  <si>
    <t>{jsdata.months[16].absences[8].duration}</t>
  </si>
  <si>
    <t>{jsdata.months[16].absences[9].duration}</t>
  </si>
  <si>
    <t>{jsdata.months[16].absences[10].duration}</t>
  </si>
  <si>
    <t>{jsdata.months[16].absences[11].duration}</t>
  </si>
  <si>
    <t>{jsdata.months[16].absences[12].duration}</t>
  </si>
  <si>
    <t>{jsdata.months[16].absences[13].duration}</t>
  </si>
  <si>
    <t>{jsdata.months[16].absences[14].duration}</t>
  </si>
  <si>
    <t>{jsdata.months[16].absences[15].duration}</t>
  </si>
  <si>
    <t>{jsdata.months[16].absences[16].duration}</t>
  </si>
  <si>
    <t>{jsdata.months[16].absences[17].duration}</t>
  </si>
  <si>
    <t>{jsdata.months[16].absences[18].duration}</t>
  </si>
  <si>
    <t>{jsdata.months[16].absences[19].duration}</t>
  </si>
  <si>
    <t>{jsdata.months[16].times.duration}</t>
  </si>
  <si>
    <t>{jsdata.months[17].month}</t>
  </si>
  <si>
    <t>{jsdata.months[17].absences[0].duration}</t>
  </si>
  <si>
    <t>{jsdata.months[17].absences[1].duration}</t>
  </si>
  <si>
    <t>{jsdata.months[17].absences[2].duration}</t>
  </si>
  <si>
    <t>{jsdata.months[17].absences[3].duration}</t>
  </si>
  <si>
    <t>{jsdata.months[17].absences[4].duration}</t>
  </si>
  <si>
    <t>{jsdata.months[17].absences[5].duration}</t>
  </si>
  <si>
    <t>{jsdata.months[17].absences[6].duration}</t>
  </si>
  <si>
    <t>{jsdata.months[17].absences[7].duration}</t>
  </si>
  <si>
    <t>{jsdata.months[17].absences[8].duration}</t>
  </si>
  <si>
    <t>{jsdata.months[17].absences[9].duration}</t>
  </si>
  <si>
    <t>{jsdata.months[17].absences[10].duration}</t>
  </si>
  <si>
    <t>{jsdata.months[17].absences[11].duration}</t>
  </si>
  <si>
    <t>{jsdata.months[17].absences[12].duration}</t>
  </si>
  <si>
    <t>{jsdata.months[17].absences[13].duration}</t>
  </si>
  <si>
    <t>{jsdata.months[17].absences[14].duration}</t>
  </si>
  <si>
    <t>{jsdata.months[17].absences[15].duration}</t>
  </si>
  <si>
    <t>{jsdata.months[17].absences[16].duration}</t>
  </si>
  <si>
    <t>{jsdata.months[17].absences[17].duration}</t>
  </si>
  <si>
    <t>{jsdata.months[17].absences[18].duration}</t>
  </si>
  <si>
    <t>{jsdata.months[17].absences[19].duration}</t>
  </si>
  <si>
    <t>{jsdata.months[17].times.duration}</t>
  </si>
  <si>
    <t>{jsdata.months[18].month}</t>
  </si>
  <si>
    <t>{jsdata.months[18].absences[0].duration}</t>
  </si>
  <si>
    <t>{jsdata.months[18].absences[1].duration}</t>
  </si>
  <si>
    <t>{jsdata.months[18].absences[2].duration}</t>
  </si>
  <si>
    <t>{jsdata.months[18].absences[3].duration}</t>
  </si>
  <si>
    <t>{jsdata.months[18].absences[4].duration}</t>
  </si>
  <si>
    <t>{jsdata.months[18].absences[5].duration}</t>
  </si>
  <si>
    <t>{jsdata.months[18].absences[6].duration}</t>
  </si>
  <si>
    <t>{jsdata.months[18].absences[7].duration}</t>
  </si>
  <si>
    <t>{jsdata.months[18].absences[8].duration}</t>
  </si>
  <si>
    <t>{jsdata.months[18].absences[9].duration}</t>
  </si>
  <si>
    <t>{jsdata.months[18].absences[10].duration}</t>
  </si>
  <si>
    <t>{jsdata.months[18].absences[11].duration}</t>
  </si>
  <si>
    <t>{jsdata.months[18].absences[12].duration}</t>
  </si>
  <si>
    <t>{jsdata.months[18].absences[13].duration}</t>
  </si>
  <si>
    <t>{jsdata.months[18].absences[14].duration}</t>
  </si>
  <si>
    <t>{jsdata.months[18].absences[15].duration}</t>
  </si>
  <si>
    <t>{jsdata.months[18].absences[16].duration}</t>
  </si>
  <si>
    <t>{jsdata.months[18].absences[17].duration}</t>
  </si>
  <si>
    <t>{jsdata.months[18].absences[18].duration}</t>
  </si>
  <si>
    <t>{jsdata.months[18].absences[19].duration}</t>
  </si>
  <si>
    <t>{jsdata.months[18].times.duration}</t>
  </si>
  <si>
    <t>{jsdata.months[19].month}</t>
  </si>
  <si>
    <t>{jsdata.months[19].absences[0].duration}</t>
  </si>
  <si>
    <t>{jsdata.months[19].absences[1].duration}</t>
  </si>
  <si>
    <t>{jsdata.months[19].absences[2].duration}</t>
  </si>
  <si>
    <t>{jsdata.months[19].absences[3].duration}</t>
  </si>
  <si>
    <t>{jsdata.months[19].absences[4].duration}</t>
  </si>
  <si>
    <t>{jsdata.months[19].absences[5].duration}</t>
  </si>
  <si>
    <t>{jsdata.months[19].absences[6].duration}</t>
  </si>
  <si>
    <t>{jsdata.months[19].absences[7].duration}</t>
  </si>
  <si>
    <t>{jsdata.months[19].absences[8].duration}</t>
  </si>
  <si>
    <t>{jsdata.months[19].absences[9].duration}</t>
  </si>
  <si>
    <t>{jsdata.months[19].absences[10].duration}</t>
  </si>
  <si>
    <t>{jsdata.months[19].absences[11].duration}</t>
  </si>
  <si>
    <t>{jsdata.months[19].absences[12].duration}</t>
  </si>
  <si>
    <t>{jsdata.months[19].absences[13].duration}</t>
  </si>
  <si>
    <t>{jsdata.months[19].absences[14].duration}</t>
  </si>
  <si>
    <t>{jsdata.months[19].absences[15].duration}</t>
  </si>
  <si>
    <t>{jsdata.months[19].absences[16].duration}</t>
  </si>
  <si>
    <t>{jsdata.months[19].absences[17].duration}</t>
  </si>
  <si>
    <t>{jsdata.months[19].absences[18].duration}</t>
  </si>
  <si>
    <t>{jsdata.months[19].absences[19].duration}</t>
  </si>
  <si>
    <t>{jsdata.months[19].times.duration}</t>
  </si>
  <si>
    <t>{jsdata.months[20].month}</t>
  </si>
  <si>
    <t>{jsdata.months[20].absences[0].duration}</t>
  </si>
  <si>
    <t>{jsdata.months[20].absences[1].duration}</t>
  </si>
  <si>
    <t>{jsdata.months[20].absences[2].duration}</t>
  </si>
  <si>
    <t>{jsdata.months[20].absences[3].duration}</t>
  </si>
  <si>
    <t>{jsdata.months[20].absences[4].duration}</t>
  </si>
  <si>
    <t>{jsdata.months[20].absences[5].duration}</t>
  </si>
  <si>
    <t>{jsdata.months[20].absences[6].duration}</t>
  </si>
  <si>
    <t>{jsdata.months[20].absences[7].duration}</t>
  </si>
  <si>
    <t>{jsdata.months[20].absences[8].duration}</t>
  </si>
  <si>
    <t>{jsdata.months[20].absences[9].duration}</t>
  </si>
  <si>
    <t>{jsdata.months[20].absences[10].duration}</t>
  </si>
  <si>
    <t>{jsdata.months[20].absences[11].duration}</t>
  </si>
  <si>
    <t>{jsdata.months[20].absences[12].duration}</t>
  </si>
  <si>
    <t>{jsdata.months[20].absences[13].duration}</t>
  </si>
  <si>
    <t>{jsdata.months[20].absences[14].duration}</t>
  </si>
  <si>
    <t>{jsdata.months[20].absences[15].duration}</t>
  </si>
  <si>
    <t>{jsdata.months[20].absences[16].duration}</t>
  </si>
  <si>
    <t>{jsdata.months[20].absences[17].duration}</t>
  </si>
  <si>
    <t>{jsdata.months[20].absences[18].duration}</t>
  </si>
  <si>
    <t>{jsdata.months[20].absences[19].duration}</t>
  </si>
  <si>
    <t>{jsdata.months[20].times.duration}</t>
  </si>
  <si>
    <t>{jsdata.months[21].month}</t>
  </si>
  <si>
    <t>{jsdata.months[21].absences[0].duration}</t>
  </si>
  <si>
    <t>{jsdata.months[21].absences[1].duration}</t>
  </si>
  <si>
    <t>{jsdata.months[21].absences[2].duration}</t>
  </si>
  <si>
    <t>{jsdata.months[21].absences[3].duration}</t>
  </si>
  <si>
    <t>{jsdata.months[21].absences[4].duration}</t>
  </si>
  <si>
    <t>{jsdata.months[21].absences[5].duration}</t>
  </si>
  <si>
    <t>{jsdata.months[21].absences[6].duration}</t>
  </si>
  <si>
    <t>{jsdata.months[21].absences[7].duration}</t>
  </si>
  <si>
    <t>{jsdata.months[21].absences[8].duration}</t>
  </si>
  <si>
    <t>{jsdata.months[21].absences[9].duration}</t>
  </si>
  <si>
    <t>{jsdata.months[21].absences[10].duration}</t>
  </si>
  <si>
    <t>{jsdata.months[21].absences[11].duration}</t>
  </si>
  <si>
    <t>{jsdata.months[21].absences[12].duration}</t>
  </si>
  <si>
    <t>{jsdata.months[21].absences[13].duration}</t>
  </si>
  <si>
    <t>{jsdata.months[21].absences[14].duration}</t>
  </si>
  <si>
    <t>{jsdata.months[21].absences[15].duration}</t>
  </si>
  <si>
    <t>{jsdata.months[21].absences[16].duration}</t>
  </si>
  <si>
    <t>{jsdata.months[21].absences[17].duration}</t>
  </si>
  <si>
    <t>{jsdata.months[21].absences[18].duration}</t>
  </si>
  <si>
    <t>{jsdata.months[21].absences[19].duration}</t>
  </si>
  <si>
    <t>{jsdata.months[21].times.duration}</t>
  </si>
  <si>
    <t>{jsdata.months[22].month}</t>
  </si>
  <si>
    <t>{jsdata.months[22].absences[0].duration}</t>
  </si>
  <si>
    <t>{jsdata.months[22].absences[1].duration}</t>
  </si>
  <si>
    <t>{jsdata.months[22].absences[2].duration}</t>
  </si>
  <si>
    <t>{jsdata.months[22].absences[3].duration}</t>
  </si>
  <si>
    <t>{jsdata.months[22].absences[4].duration}</t>
  </si>
  <si>
    <t>{jsdata.months[22].absences[5].duration}</t>
  </si>
  <si>
    <t>{jsdata.months[22].absences[6].duration}</t>
  </si>
  <si>
    <t>{jsdata.months[22].absences[7].duration}</t>
  </si>
  <si>
    <t>{jsdata.months[22].absences[8].duration}</t>
  </si>
  <si>
    <t>{jsdata.months[22].absences[9].duration}</t>
  </si>
  <si>
    <t>{jsdata.months[22].absences[10].duration}</t>
  </si>
  <si>
    <t>{jsdata.months[22].absences[11].duration}</t>
  </si>
  <si>
    <t>{jsdata.months[22].absences[12].duration}</t>
  </si>
  <si>
    <t>{jsdata.months[22].absences[13].duration}</t>
  </si>
  <si>
    <t>{jsdata.months[22].absences[14].duration}</t>
  </si>
  <si>
    <t>{jsdata.months[22].absences[15].duration}</t>
  </si>
  <si>
    <t>{jsdata.months[22].absences[16].duration}</t>
  </si>
  <si>
    <t>{jsdata.months[22].absences[17].duration}</t>
  </si>
  <si>
    <t>{jsdata.months[22].absences[18].duration}</t>
  </si>
  <si>
    <t>{jsdata.months[22].absences[19].duration}</t>
  </si>
  <si>
    <t>{jsdata.months[22].times.duration}</t>
  </si>
  <si>
    <t>{jsdata.months[23].month}</t>
  </si>
  <si>
    <t>{jsdata.months[23].absences[0].duration}</t>
  </si>
  <si>
    <t>{jsdata.months[23].absences[1].duration}</t>
  </si>
  <si>
    <t>{jsdata.months[23].absences[2].duration}</t>
  </si>
  <si>
    <t>{jsdata.months[23].absences[3].duration}</t>
  </si>
  <si>
    <t>{jsdata.months[23].absences[4].duration}</t>
  </si>
  <si>
    <t>{jsdata.months[23].absences[5].duration}</t>
  </si>
  <si>
    <t>{jsdata.months[23].absences[6].duration}</t>
  </si>
  <si>
    <t>{jsdata.months[23].absences[7].duration}</t>
  </si>
  <si>
    <t>{jsdata.months[23].absences[8].duration}</t>
  </si>
  <si>
    <t>{jsdata.months[23].absences[9].duration}</t>
  </si>
  <si>
    <t>{jsdata.months[23].absences[10].duration}</t>
  </si>
  <si>
    <t>{jsdata.months[23].absences[11].duration}</t>
  </si>
  <si>
    <t>{jsdata.months[23].absences[12].duration}</t>
  </si>
  <si>
    <t>{jsdata.months[23].absences[13].duration}</t>
  </si>
  <si>
    <t>{jsdata.months[23].absences[14].duration}</t>
  </si>
  <si>
    <t>{jsdata.months[23].absences[15].duration}</t>
  </si>
  <si>
    <t>{jsdata.months[23].absences[16].duration}</t>
  </si>
  <si>
    <t>{jsdata.months[23].absences[17].duration}</t>
  </si>
  <si>
    <t>{jsdata.months[23].absences[18].duration}</t>
  </si>
  <si>
    <t>{jsdata.months[23].absences[19].duration}</t>
  </si>
  <si>
    <t>{jsdata.months[23].times.duration}</t>
  </si>
  <si>
    <t>{jsdata.months[24].month}</t>
  </si>
  <si>
    <t>{jsdata.months[24].absences[0].duration}</t>
  </si>
  <si>
    <t>{jsdata.months[24].absences[1].duration}</t>
  </si>
  <si>
    <t>{jsdata.months[24].absences[2].duration}</t>
  </si>
  <si>
    <t>{jsdata.months[24].absences[3].duration}</t>
  </si>
  <si>
    <t>{jsdata.months[24].absences[4].duration}</t>
  </si>
  <si>
    <t>{jsdata.months[24].absences[5].duration}</t>
  </si>
  <si>
    <t>{jsdata.months[24].absences[6].duration}</t>
  </si>
  <si>
    <t>{jsdata.months[24].absences[7].duration}</t>
  </si>
  <si>
    <t>{jsdata.months[24].absences[8].duration}</t>
  </si>
  <si>
    <t>{jsdata.months[24].absences[9].duration}</t>
  </si>
  <si>
    <t>{jsdata.months[24].absences[10].duration}</t>
  </si>
  <si>
    <t>{jsdata.months[24].absences[11].duration}</t>
  </si>
  <si>
    <t>{jsdata.months[24].absences[12].duration}</t>
  </si>
  <si>
    <t>{jsdata.months[24].absences[13].duration}</t>
  </si>
  <si>
    <t>{jsdata.months[24].absences[14].duration}</t>
  </si>
  <si>
    <t>{jsdata.months[24].absences[15].duration}</t>
  </si>
  <si>
    <t>{jsdata.months[24].absences[16].duration}</t>
  </si>
  <si>
    <t>{jsdata.months[24].absences[17].duration}</t>
  </si>
  <si>
    <t>{jsdata.months[24].absences[18].duration}</t>
  </si>
  <si>
    <t>{jsdata.months[24].absences[19].duration}</t>
  </si>
  <si>
    <t>{jsdata.months[24].times.duration}</t>
  </si>
  <si>
    <t>{jsdata.months[25].month}</t>
  </si>
  <si>
    <t>{jsdata.months[25].absences[0].duration}</t>
  </si>
  <si>
    <t>{jsdata.months[25].absences[1].duration}</t>
  </si>
  <si>
    <t>{jsdata.months[25].absences[2].duration}</t>
  </si>
  <si>
    <t>{jsdata.months[25].absences[3].duration}</t>
  </si>
  <si>
    <t>{jsdata.months[25].absences[4].duration}</t>
  </si>
  <si>
    <t>{jsdata.months[25].absences[5].duration}</t>
  </si>
  <si>
    <t>{jsdata.months[25].absences[6].duration}</t>
  </si>
  <si>
    <t>{jsdata.months[25].absences[7].duration}</t>
  </si>
  <si>
    <t>{jsdata.months[25].absences[8].duration}</t>
  </si>
  <si>
    <t>{jsdata.months[25].absences[9].duration}</t>
  </si>
  <si>
    <t>{jsdata.months[25].absences[10].duration}</t>
  </si>
  <si>
    <t>{jsdata.months[25].absences[11].duration}</t>
  </si>
  <si>
    <t>{jsdata.months[25].absences[12].duration}</t>
  </si>
  <si>
    <t>{jsdata.months[25].absences[13].duration}</t>
  </si>
  <si>
    <t>{jsdata.months[25].absences[14].duration}</t>
  </si>
  <si>
    <t>{jsdata.months[25].absences[15].duration}</t>
  </si>
  <si>
    <t>{jsdata.months[25].absences[16].duration}</t>
  </si>
  <si>
    <t>{jsdata.months[25].absences[17].duration}</t>
  </si>
  <si>
    <t>{jsdata.months[25].absences[18].duration}</t>
  </si>
  <si>
    <t>{jsdata.months[25].absences[19].duration}</t>
  </si>
  <si>
    <t>{jsdata.months[25].times.duration}</t>
  </si>
  <si>
    <t>{jsdata.months[26].month}</t>
  </si>
  <si>
    <t>{jsdata.months[26].absences[0].duration}</t>
  </si>
  <si>
    <t>{jsdata.months[26].absences[1].duration}</t>
  </si>
  <si>
    <t>{jsdata.months[26].absences[2].duration}</t>
  </si>
  <si>
    <t>{jsdata.months[26].absences[3].duration}</t>
  </si>
  <si>
    <t>{jsdata.months[26].absences[4].duration}</t>
  </si>
  <si>
    <t>{jsdata.months[26].absences[5].duration}</t>
  </si>
  <si>
    <t>{jsdata.months[26].absences[6].duration}</t>
  </si>
  <si>
    <t>{jsdata.months[26].absences[7].duration}</t>
  </si>
  <si>
    <t>{jsdata.months[26].absences[8].duration}</t>
  </si>
  <si>
    <t>{jsdata.months[26].absences[9].duration}</t>
  </si>
  <si>
    <t>{jsdata.months[26].absences[10].duration}</t>
  </si>
  <si>
    <t>{jsdata.months[26].absences[11].duration}</t>
  </si>
  <si>
    <t>{jsdata.months[26].absences[12].duration}</t>
  </si>
  <si>
    <t>{jsdata.months[26].absences[13].duration}</t>
  </si>
  <si>
    <t>{jsdata.months[26].absences[14].duration}</t>
  </si>
  <si>
    <t>{jsdata.months[26].absences[15].duration}</t>
  </si>
  <si>
    <t>{jsdata.months[26].absences[16].duration}</t>
  </si>
  <si>
    <t>{jsdata.months[26].absences[17].duration}</t>
  </si>
  <si>
    <t>{jsdata.months[26].absences[18].duration}</t>
  </si>
  <si>
    <t>{jsdata.months[26].absences[19].duration}</t>
  </si>
  <si>
    <t>{jsdata.months[26].times.duration}</t>
  </si>
  <si>
    <t>{jsdata.months[27].month}</t>
  </si>
  <si>
    <t>{jsdata.months[27].absences[0].duration}</t>
  </si>
  <si>
    <t>{jsdata.months[27].absences[1].duration}</t>
  </si>
  <si>
    <t>{jsdata.months[27].absences[2].duration}</t>
  </si>
  <si>
    <t>{jsdata.months[27].absences[3].duration}</t>
  </si>
  <si>
    <t>{jsdata.months[27].absences[4].duration}</t>
  </si>
  <si>
    <t>{jsdata.months[27].absences[5].duration}</t>
  </si>
  <si>
    <t>{jsdata.months[27].absences[6].duration}</t>
  </si>
  <si>
    <t>{jsdata.months[27].absences[7].duration}</t>
  </si>
  <si>
    <t>{jsdata.months[27].absences[8].duration}</t>
  </si>
  <si>
    <t>{jsdata.months[27].absences[9].duration}</t>
  </si>
  <si>
    <t>{jsdata.months[27].absences[10].duration}</t>
  </si>
  <si>
    <t>{jsdata.months[27].absences[11].duration}</t>
  </si>
  <si>
    <t>{jsdata.months[27].absences[12].duration}</t>
  </si>
  <si>
    <t>{jsdata.months[27].absences[13].duration}</t>
  </si>
  <si>
    <t>{jsdata.months[27].absences[14].duration}</t>
  </si>
  <si>
    <t>{jsdata.months[27].absences[15].duration}</t>
  </si>
  <si>
    <t>{jsdata.months[27].absences[16].duration}</t>
  </si>
  <si>
    <t>{jsdata.months[27].absences[17].duration}</t>
  </si>
  <si>
    <t>{jsdata.months[27].absences[18].duration}</t>
  </si>
  <si>
    <t>{jsdata.months[27].absences[19].duration}</t>
  </si>
  <si>
    <t>{jsdata.months[27].times.duration}</t>
  </si>
  <si>
    <t>{jsdata.months[28].month}</t>
  </si>
  <si>
    <t>{jsdata.months[28].absences[0].duration}</t>
  </si>
  <si>
    <t>{jsdata.months[28].absences[1].duration}</t>
  </si>
  <si>
    <t>{jsdata.months[28].absences[2].duration}</t>
  </si>
  <si>
    <t>{jsdata.months[28].absences[3].duration}</t>
  </si>
  <si>
    <t>{jsdata.months[28].absences[4].duration}</t>
  </si>
  <si>
    <t>{jsdata.months[28].absences[5].duration}</t>
  </si>
  <si>
    <t>{jsdata.months[28].absences[6].duration}</t>
  </si>
  <si>
    <t>{jsdata.months[28].absences[7].duration}</t>
  </si>
  <si>
    <t>{jsdata.months[28].absences[8].duration}</t>
  </si>
  <si>
    <t>{jsdata.months[28].absences[9].duration}</t>
  </si>
  <si>
    <t>{jsdata.months[28].absences[10].duration}</t>
  </si>
  <si>
    <t>{jsdata.months[28].absences[11].duration}</t>
  </si>
  <si>
    <t>{jsdata.months[28].absences[12].duration}</t>
  </si>
  <si>
    <t>{jsdata.months[28].absences[13].duration}</t>
  </si>
  <si>
    <t>{jsdata.months[28].absences[14].duration}</t>
  </si>
  <si>
    <t>{jsdata.months[28].absences[15].duration}</t>
  </si>
  <si>
    <t>{jsdata.months[28].absences[16].duration}</t>
  </si>
  <si>
    <t>{jsdata.months[28].absences[17].duration}</t>
  </si>
  <si>
    <t>{jsdata.months[28].absences[18].duration}</t>
  </si>
  <si>
    <t>{jsdata.months[28].absences[19].duration}</t>
  </si>
  <si>
    <t>{jsdata.months[28].times.duration}</t>
  </si>
  <si>
    <t>{jsdata.months[29].month}</t>
  </si>
  <si>
    <t>{jsdata.months[29].absences[0].duration}</t>
  </si>
  <si>
    <t>{jsdata.months[29].absences[1].duration}</t>
  </si>
  <si>
    <t>{jsdata.months[29].absences[2].duration}</t>
  </si>
  <si>
    <t>{jsdata.months[29].absences[3].duration}</t>
  </si>
  <si>
    <t>{jsdata.months[29].absences[4].duration}</t>
  </si>
  <si>
    <t>{jsdata.months[29].absences[5].duration}</t>
  </si>
  <si>
    <t>{jsdata.months[29].absences[6].duration}</t>
  </si>
  <si>
    <t>{jsdata.months[29].absences[7].duration}</t>
  </si>
  <si>
    <t>{jsdata.months[29].absences[8].duration}</t>
  </si>
  <si>
    <t>{jsdata.months[29].absences[9].duration}</t>
  </si>
  <si>
    <t>{jsdata.months[29].absences[10].duration}</t>
  </si>
  <si>
    <t>{jsdata.months[29].absences[11].duration}</t>
  </si>
  <si>
    <t>{jsdata.months[29].absences[12].duration}</t>
  </si>
  <si>
    <t>{jsdata.months[29].absences[13].duration}</t>
  </si>
  <si>
    <t>{jsdata.months[29].absences[14].duration}</t>
  </si>
  <si>
    <t>{jsdata.months[29].absences[15].duration}</t>
  </si>
  <si>
    <t>{jsdata.months[29].absences[16].duration}</t>
  </si>
  <si>
    <t>{jsdata.months[29].absences[17].duration}</t>
  </si>
  <si>
    <t>{jsdata.months[29].absences[18].duration}</t>
  </si>
  <si>
    <t>{jsdata.months[29].absences[19].duration}</t>
  </si>
  <si>
    <t>{jsdata.months[29].times.duration}</t>
  </si>
  <si>
    <t>{jsdata.months[30].month}</t>
  </si>
  <si>
    <t>{jsdata.months[30].absences[0].duration}</t>
  </si>
  <si>
    <t>{jsdata.months[30].absences[1].duration}</t>
  </si>
  <si>
    <t>{jsdata.months[30].absences[2].duration}</t>
  </si>
  <si>
    <t>{jsdata.months[30].absences[3].duration}</t>
  </si>
  <si>
    <t>{jsdata.months[30].absences[4].duration}</t>
  </si>
  <si>
    <t>{jsdata.months[30].absences[5].duration}</t>
  </si>
  <si>
    <t>{jsdata.months[30].absences[6].duration}</t>
  </si>
  <si>
    <t>{jsdata.months[30].absences[7].duration}</t>
  </si>
  <si>
    <t>{jsdata.months[30].absences[8].duration}</t>
  </si>
  <si>
    <t>{jsdata.months[30].absences[9].duration}</t>
  </si>
  <si>
    <t>{jsdata.months[30].absences[10].duration}</t>
  </si>
  <si>
    <t>{jsdata.months[30].absences[11].duration}</t>
  </si>
  <si>
    <t>{jsdata.months[30].absences[12].duration}</t>
  </si>
  <si>
    <t>{jsdata.months[30].absences[13].duration}</t>
  </si>
  <si>
    <t>{jsdata.months[30].absences[14].duration}</t>
  </si>
  <si>
    <t>{jsdata.months[30].absences[15].duration}</t>
  </si>
  <si>
    <t>{jsdata.months[30].absences[16].duration}</t>
  </si>
  <si>
    <t>{jsdata.months[30].absences[17].duration}</t>
  </si>
  <si>
    <t>{jsdata.months[30].absences[18].duration}</t>
  </si>
  <si>
    <t>{jsdata.months[30].absences[19].duration}</t>
  </si>
  <si>
    <t>{jsdata.months[30].times.duration}</t>
  </si>
  <si>
    <t>{jsdata.months[31].month}</t>
  </si>
  <si>
    <t>{jsdata.months[31].absences[0].duration}</t>
  </si>
  <si>
    <t>{jsdata.months[31].absences[1].duration}</t>
  </si>
  <si>
    <t>{jsdata.months[31].absences[2].duration}</t>
  </si>
  <si>
    <t>{jsdata.months[31].absences[3].duration}</t>
  </si>
  <si>
    <t>{jsdata.months[31].absences[4].duration}</t>
  </si>
  <si>
    <t>{jsdata.months[31].absences[5].duration}</t>
  </si>
  <si>
    <t>{jsdata.months[31].absences[6].duration}</t>
  </si>
  <si>
    <t>{jsdata.months[31].absences[7].duration}</t>
  </si>
  <si>
    <t>{jsdata.months[31].absences[8].duration}</t>
  </si>
  <si>
    <t>{jsdata.months[31].absences[9].duration}</t>
  </si>
  <si>
    <t>{jsdata.months[31].absences[10].duration}</t>
  </si>
  <si>
    <t>{jsdata.months[31].absences[11].duration}</t>
  </si>
  <si>
    <t>{jsdata.months[31].absences[12].duration}</t>
  </si>
  <si>
    <t>{jsdata.months[31].absences[13].duration}</t>
  </si>
  <si>
    <t>{jsdata.months[31].absences[14].duration}</t>
  </si>
  <si>
    <t>{jsdata.months[31].absences[15].duration}</t>
  </si>
  <si>
    <t>{jsdata.months[31].absences[16].duration}</t>
  </si>
  <si>
    <t>{jsdata.months[31].absences[17].duration}</t>
  </si>
  <si>
    <t>{jsdata.months[31].absences[18].duration}</t>
  </si>
  <si>
    <t>{jsdata.months[31].absences[19].duration}</t>
  </si>
  <si>
    <t>{jsdata.months[31].times.duration}</t>
  </si>
  <si>
    <t>{jsdata.months[32].month}</t>
  </si>
  <si>
    <t>{jsdata.months[32].absences[0].duration}</t>
  </si>
  <si>
    <t>{jsdata.months[32].absences[1].duration}</t>
  </si>
  <si>
    <t>{jsdata.months[32].absences[2].duration}</t>
  </si>
  <si>
    <t>{jsdata.months[32].absences[3].duration}</t>
  </si>
  <si>
    <t>{jsdata.months[32].absences[4].duration}</t>
  </si>
  <si>
    <t>{jsdata.months[32].absences[5].duration}</t>
  </si>
  <si>
    <t>{jsdata.months[32].absences[6].duration}</t>
  </si>
  <si>
    <t>{jsdata.months[32].absences[7].duration}</t>
  </si>
  <si>
    <t>{jsdata.months[32].absences[8].duration}</t>
  </si>
  <si>
    <t>{jsdata.months[32].absences[9].duration}</t>
  </si>
  <si>
    <t>{jsdata.months[32].absences[10].duration}</t>
  </si>
  <si>
    <t>{jsdata.months[32].absences[11].duration}</t>
  </si>
  <si>
    <t>{jsdata.months[32].absences[12].duration}</t>
  </si>
  <si>
    <t>{jsdata.months[32].absences[13].duration}</t>
  </si>
  <si>
    <t>{jsdata.months[32].absences[14].duration}</t>
  </si>
  <si>
    <t>{jsdata.months[32].absences[15].duration}</t>
  </si>
  <si>
    <t>{jsdata.months[32].absences[16].duration}</t>
  </si>
  <si>
    <t>{jsdata.months[32].absences[17].duration}</t>
  </si>
  <si>
    <t>{jsdata.months[32].absences[18].duration}</t>
  </si>
  <si>
    <t>{jsdata.months[32].absences[19].duration}</t>
  </si>
  <si>
    <t>{jsdata.months[32].times.duration}</t>
  </si>
  <si>
    <t>{jsdata.months[33].month}</t>
  </si>
  <si>
    <t>{jsdata.months[33].absences[0].duration}</t>
  </si>
  <si>
    <t>{jsdata.months[33].absences[1].duration}</t>
  </si>
  <si>
    <t>{jsdata.months[33].absences[2].duration}</t>
  </si>
  <si>
    <t>{jsdata.months[33].absences[3].duration}</t>
  </si>
  <si>
    <t>{jsdata.months[33].absences[4].duration}</t>
  </si>
  <si>
    <t>{jsdata.months[33].absences[5].duration}</t>
  </si>
  <si>
    <t>{jsdata.months[33].absences[6].duration}</t>
  </si>
  <si>
    <t>{jsdata.months[33].absences[7].duration}</t>
  </si>
  <si>
    <t>{jsdata.months[33].absences[8].duration}</t>
  </si>
  <si>
    <t>{jsdata.months[33].absences[9].duration}</t>
  </si>
  <si>
    <t>{jsdata.months[33].absences[10].duration}</t>
  </si>
  <si>
    <t>{jsdata.months[33].absences[11].duration}</t>
  </si>
  <si>
    <t>{jsdata.months[33].absences[12].duration}</t>
  </si>
  <si>
    <t>{jsdata.months[33].absences[13].duration}</t>
  </si>
  <si>
    <t>{jsdata.months[33].absences[14].duration}</t>
  </si>
  <si>
    <t>{jsdata.months[33].absences[15].duration}</t>
  </si>
  <si>
    <t>{jsdata.months[33].absences[16].duration}</t>
  </si>
  <si>
    <t>{jsdata.months[33].absences[17].duration}</t>
  </si>
  <si>
    <t>{jsdata.months[33].absences[18].duration}</t>
  </si>
  <si>
    <t>{jsdata.months[33].absences[19].duration}</t>
  </si>
  <si>
    <t>{jsdata.months[33].times.duration}</t>
  </si>
  <si>
    <t>{jsdata.months[34].month}</t>
  </si>
  <si>
    <t>{jsdata.months[34].absences[0].duration}</t>
  </si>
  <si>
    <t>{jsdata.months[34].absences[1].duration}</t>
  </si>
  <si>
    <t>{jsdata.months[34].absences[2].duration}</t>
  </si>
  <si>
    <t>{jsdata.months[34].absences[3].duration}</t>
  </si>
  <si>
    <t>{jsdata.months[34].absences[4].duration}</t>
  </si>
  <si>
    <t>{jsdata.months[34].absences[5].duration}</t>
  </si>
  <si>
    <t>{jsdata.months[34].absences[6].duration}</t>
  </si>
  <si>
    <t>{jsdata.months[34].absences[7].duration}</t>
  </si>
  <si>
    <t>{jsdata.months[34].absences[8].duration}</t>
  </si>
  <si>
    <t>{jsdata.months[34].absences[9].duration}</t>
  </si>
  <si>
    <t>{jsdata.months[34].absences[10].duration}</t>
  </si>
  <si>
    <t>{jsdata.months[34].absences[11].duration}</t>
  </si>
  <si>
    <t>{jsdata.months[34].absences[12].duration}</t>
  </si>
  <si>
    <t>{jsdata.months[34].absences[13].duration}</t>
  </si>
  <si>
    <t>{jsdata.months[34].absences[14].duration}</t>
  </si>
  <si>
    <t>{jsdata.months[34].absences[15].duration}</t>
  </si>
  <si>
    <t>{jsdata.months[34].absences[16].duration}</t>
  </si>
  <si>
    <t>{jsdata.months[34].absences[17].duration}</t>
  </si>
  <si>
    <t>{jsdata.months[34].absences[18].duration}</t>
  </si>
  <si>
    <t>{jsdata.months[34].absences[19].duration}</t>
  </si>
  <si>
    <t>{jsdata.months[34].times.duration}</t>
  </si>
  <si>
    <t>{jsdata.months[35].month}</t>
  </si>
  <si>
    <t>{jsdata.months[35].absences[0].duration}</t>
  </si>
  <si>
    <t>{jsdata.months[35].absences[1].duration}</t>
  </si>
  <si>
    <t>{jsdata.months[35].absences[2].duration}</t>
  </si>
  <si>
    <t>{jsdata.months[35].absences[3].duration}</t>
  </si>
  <si>
    <t>{jsdata.months[35].absences[4].duration}</t>
  </si>
  <si>
    <t>{jsdata.months[35].absences[5].duration}</t>
  </si>
  <si>
    <t>{jsdata.months[35].absences[6].duration}</t>
  </si>
  <si>
    <t>{jsdata.months[35].absences[7].duration}</t>
  </si>
  <si>
    <t>{jsdata.months[35].absences[8].duration}</t>
  </si>
  <si>
    <t>{jsdata.months[35].absences[9].duration}</t>
  </si>
  <si>
    <t>{jsdata.months[35].absences[10].duration}</t>
  </si>
  <si>
    <t>{jsdata.months[35].absences[11].duration}</t>
  </si>
  <si>
    <t>{jsdata.months[35].absences[12].duration}</t>
  </si>
  <si>
    <t>{jsdata.months[35].absences[13].duration}</t>
  </si>
  <si>
    <t>{jsdata.months[35].absences[14].duration}</t>
  </si>
  <si>
    <t>{jsdata.months[35].absences[15].duration}</t>
  </si>
  <si>
    <t>{jsdata.months[35].absences[16].duration}</t>
  </si>
  <si>
    <t>{jsdata.months[35].absences[17].duration}</t>
  </si>
  <si>
    <t>{jsdata.months[35].absences[18].duration}</t>
  </si>
  <si>
    <t>{jsdata.months[35].absences[19].duration}</t>
  </si>
  <si>
    <t>{jsdata.months[35].times.duration}</t>
  </si>
  <si>
    <t>{jsdata.months[36].month}</t>
  </si>
  <si>
    <t>{jsdata.months[36].absences[0].duration}</t>
  </si>
  <si>
    <t>{jsdata.months[36].absences[1].duration}</t>
  </si>
  <si>
    <t>{jsdata.months[36].absences[2].duration}</t>
  </si>
  <si>
    <t>{jsdata.months[36].absences[3].duration}</t>
  </si>
  <si>
    <t>{jsdata.months[36].absences[4].duration}</t>
  </si>
  <si>
    <t>{jsdata.months[36].absences[5].duration}</t>
  </si>
  <si>
    <t>{jsdata.months[36].absences[6].duration}</t>
  </si>
  <si>
    <t>{jsdata.months[36].absences[7].duration}</t>
  </si>
  <si>
    <t>{jsdata.months[36].absences[8].duration}</t>
  </si>
  <si>
    <t>{jsdata.months[36].absences[9].duration}</t>
  </si>
  <si>
    <t>{jsdata.months[36].absences[10].duration}</t>
  </si>
  <si>
    <t>{jsdata.months[36].absences[11].duration}</t>
  </si>
  <si>
    <t>{jsdata.months[36].absences[12].duration}</t>
  </si>
  <si>
    <t>{jsdata.months[36].absences[13].duration}</t>
  </si>
  <si>
    <t>{jsdata.months[36].absences[14].duration}</t>
  </si>
  <si>
    <t>{jsdata.months[36].absences[15].duration}</t>
  </si>
  <si>
    <t>{jsdata.months[36].absences[16].duration}</t>
  </si>
  <si>
    <t>{jsdata.months[36].absences[17].duration}</t>
  </si>
  <si>
    <t>{jsdata.months[36].absences[18].duration}</t>
  </si>
  <si>
    <t>{jsdata.months[36].absences[19].duration}</t>
  </si>
  <si>
    <t>{jsdata.months[36].times.duration}</t>
  </si>
  <si>
    <t>{jsdata.months[0].absences[0].absenceType}</t>
  </si>
  <si>
    <t>{jsdata.months[0].absences[1].absenceType}</t>
  </si>
  <si>
    <t>{jsdata.months[0].absences[2].absenceType}</t>
  </si>
  <si>
    <t>{jsdata.months[0].absences[3].absenceType}</t>
  </si>
  <si>
    <t>{jsdata.months[0].absences[4].absenceType}</t>
  </si>
  <si>
    <t>{jsdata.months[0].absences[5].absenceType}</t>
  </si>
  <si>
    <t>{jsdata.months[0].absences[6].absenceType}</t>
  </si>
  <si>
    <t>{jsdata.months[0].absences[7].absenceType}</t>
  </si>
  <si>
    <t>{jsdata.months[0].absences[8].absenceType}</t>
  </si>
  <si>
    <t>{jsdata.months[0].absences[9].absenceType}</t>
  </si>
  <si>
    <t>{jsdata.months[0].absences[10].absenceType}</t>
  </si>
  <si>
    <t>{jsdata.months[0].absences[11].absenceType}</t>
  </si>
  <si>
    <t>{jsdata.months[0].absences[12].absenceType}</t>
  </si>
  <si>
    <t>{jsdata.months[0].absences[13].absenceType}</t>
  </si>
  <si>
    <t>{jsdata.months[0].absences[14].absenceType}</t>
  </si>
  <si>
    <t>{jsdata.months[0].absences[15].absenceType}</t>
  </si>
  <si>
    <t>{jsdata.months[0].absences[16].absenceType}</t>
  </si>
  <si>
    <t>{jsdata.months[0].absences[17].absenceType}</t>
  </si>
  <si>
    <t>{jsdata.months[0].absences[18].absenceType}</t>
  </si>
  <si>
    <t>{jsdata.months[0].absences[19].absenceType}</t>
  </si>
  <si>
    <t>{jsdata.months[1].absences[0].absenceType}</t>
  </si>
  <si>
    <t>{jsdata.months[1].absences[1].absenceType}</t>
  </si>
  <si>
    <t>{jsdata.months[1].absences[2].absenceType}</t>
  </si>
  <si>
    <t>{jsdata.months[1].absences[3].absenceType}</t>
  </si>
  <si>
    <t>{jsdata.months[1].absences[4].absenceType}</t>
  </si>
  <si>
    <t>{jsdata.months[1].absences[5].absenceType}</t>
  </si>
  <si>
    <t>{jsdata.months[1].absences[6].absenceType}</t>
  </si>
  <si>
    <t>{jsdata.months[1].absences[7].absenceType}</t>
  </si>
  <si>
    <t>{jsdata.months[1].absences[8].absenceType}</t>
  </si>
  <si>
    <t>{jsdata.months[1].absences[9].absenceType}</t>
  </si>
  <si>
    <t>{jsdata.months[1].absences[10].absenceType}</t>
  </si>
  <si>
    <t>{jsdata.months[1].absences[11].absenceType}</t>
  </si>
  <si>
    <t>{jsdata.months[1].absences[12].absenceType}</t>
  </si>
  <si>
    <t>{jsdata.months[1].absences[13].absenceType}</t>
  </si>
  <si>
    <t>{jsdata.months[1].absences[14].absenceType}</t>
  </si>
  <si>
    <t>{jsdata.months[1].absences[15].absenceType}</t>
  </si>
  <si>
    <t>{jsdata.months[1].absences[16].absenceType}</t>
  </si>
  <si>
    <t>{jsdata.months[1].absences[17].absenceType}</t>
  </si>
  <si>
    <t>{jsdata.months[1].absences[18].absenceType}</t>
  </si>
  <si>
    <t>{jsdata.months[1].absences[19].absenceType}</t>
  </si>
  <si>
    <t>{jsdata.months[2].absences[0].absenceType}</t>
  </si>
  <si>
    <t>{jsdata.months[2].absences[1].absenceType}</t>
  </si>
  <si>
    <t>{jsdata.months[2].absences[2].absenceType}</t>
  </si>
  <si>
    <t>{jsdata.months[2].absences[3].absenceType}</t>
  </si>
  <si>
    <t>{jsdata.months[2].absences[4].absenceType}</t>
  </si>
  <si>
    <t>{jsdata.months[2].absences[5].absenceType}</t>
  </si>
  <si>
    <t>{jsdata.months[2].absences[6].absenceType}</t>
  </si>
  <si>
    <t>{jsdata.months[2].absences[7].absenceType}</t>
  </si>
  <si>
    <t>{jsdata.months[2].absences[8].absenceType}</t>
  </si>
  <si>
    <t>{jsdata.months[2].absences[9].absenceType}</t>
  </si>
  <si>
    <t>{jsdata.months[2].absences[10].absenceType}</t>
  </si>
  <si>
    <t>{jsdata.months[2].absences[11].absenceType}</t>
  </si>
  <si>
    <t>{jsdata.months[2].absences[12].absenceType}</t>
  </si>
  <si>
    <t>{jsdata.months[2].absences[13].absenceType}</t>
  </si>
  <si>
    <t>{jsdata.months[2].absences[14].absenceType}</t>
  </si>
  <si>
    <t>{jsdata.months[2].absences[15].absenceType}</t>
  </si>
  <si>
    <t>{jsdata.months[2].absences[16].absenceType}</t>
  </si>
  <si>
    <t>{jsdata.months[2].absences[17].absenceType}</t>
  </si>
  <si>
    <t>{jsdata.months[2].absences[18].absenceType}</t>
  </si>
  <si>
    <t>{jsdata.months[2].absences[19].absenceType}</t>
  </si>
  <si>
    <t>{jsdata.months[3].absences[0].absenceType}</t>
  </si>
  <si>
    <t>{jsdata.months[3].absences[1].absenceType}</t>
  </si>
  <si>
    <t>{jsdata.months[3].absences[2].absenceType}</t>
  </si>
  <si>
    <t>{jsdata.months[3].absences[3].absenceType}</t>
  </si>
  <si>
    <t>{jsdata.months[3].absences[4].absenceType}</t>
  </si>
  <si>
    <t>{jsdata.months[3].absences[5].absenceType}</t>
  </si>
  <si>
    <t>{jsdata.months[3].absences[6].absenceType}</t>
  </si>
  <si>
    <t>{jsdata.months[3].absences[7].absenceType}</t>
  </si>
  <si>
    <t>{jsdata.months[3].absences[8].absenceType}</t>
  </si>
  <si>
    <t>{jsdata.months[3].absences[9].absenceType}</t>
  </si>
  <si>
    <t>{jsdata.months[3].absences[10].absenceType}</t>
  </si>
  <si>
    <t>{jsdata.months[3].absences[11].absenceType}</t>
  </si>
  <si>
    <t>{jsdata.months[3].absences[12].absenceType}</t>
  </si>
  <si>
    <t>{jsdata.months[3].absences[13].absenceType}</t>
  </si>
  <si>
    <t>{jsdata.months[3].absences[14].absenceType}</t>
  </si>
  <si>
    <t>{jsdata.months[3].absences[15].absenceType}</t>
  </si>
  <si>
    <t>{jsdata.months[3].absences[16].absenceType}</t>
  </si>
  <si>
    <t>{jsdata.months[3].absences[17].absenceType}</t>
  </si>
  <si>
    <t>{jsdata.months[3].absences[18].absenceType}</t>
  </si>
  <si>
    <t>{jsdata.months[3].absences[19].absenceType}</t>
  </si>
  <si>
    <t>{jsdata.months[4].absences[0].absenceType}</t>
  </si>
  <si>
    <t>{jsdata.months[4].absences[1].absenceType}</t>
  </si>
  <si>
    <t>{jsdata.months[4].absences[2].absenceType}</t>
  </si>
  <si>
    <t>{jsdata.months[4].absences[3].absenceType}</t>
  </si>
  <si>
    <t>{jsdata.months[4].absences[4].absenceType}</t>
  </si>
  <si>
    <t>{jsdata.months[4].absences[5].absenceType}</t>
  </si>
  <si>
    <t>{jsdata.months[4].absences[6].absenceType}</t>
  </si>
  <si>
    <t>{jsdata.months[4].absences[7].absenceType}</t>
  </si>
  <si>
    <t>{jsdata.months[4].absences[8].absenceType}</t>
  </si>
  <si>
    <t>{jsdata.months[4].absences[9].absenceType}</t>
  </si>
  <si>
    <t>{jsdata.months[4].absences[10].absenceType}</t>
  </si>
  <si>
    <t>{jsdata.months[4].absences[11].absenceType}</t>
  </si>
  <si>
    <t>{jsdata.months[4].absences[12].absenceType}</t>
  </si>
  <si>
    <t>{jsdata.months[4].absences[13].absenceType}</t>
  </si>
  <si>
    <t>{jsdata.months[4].absences[14].absenceType}</t>
  </si>
  <si>
    <t>{jsdata.months[4].absences[15].absenceType}</t>
  </si>
  <si>
    <t>{jsdata.months[4].absences[16].absenceType}</t>
  </si>
  <si>
    <t>{jsdata.months[4].absences[17].absenceType}</t>
  </si>
  <si>
    <t>{jsdata.months[4].absences[18].absenceType}</t>
  </si>
  <si>
    <t>{jsdata.months[4].absences[19].absenceType}</t>
  </si>
  <si>
    <t>{jsdata.months[5].absences[0].absenceType}</t>
  </si>
  <si>
    <t>{jsdata.months[5].absences[1].absenceType}</t>
  </si>
  <si>
    <t>{jsdata.months[5].absences[2].absenceType}</t>
  </si>
  <si>
    <t>{jsdata.months[5].absences[3].absenceType}</t>
  </si>
  <si>
    <t>{jsdata.months[5].absences[4].absenceType}</t>
  </si>
  <si>
    <t>{jsdata.months[5].absences[5].absenceType}</t>
  </si>
  <si>
    <t>{jsdata.months[5].absences[6].absenceType}</t>
  </si>
  <si>
    <t>{jsdata.months[5].absences[7].absenceType}</t>
  </si>
  <si>
    <t>{jsdata.months[5].absences[8].absenceType}</t>
  </si>
  <si>
    <t>{jsdata.months[5].absences[9].absenceType}</t>
  </si>
  <si>
    <t>{jsdata.months[5].absences[10].absenceType}</t>
  </si>
  <si>
    <t>{jsdata.months[5].absences[11].absenceType}</t>
  </si>
  <si>
    <t>{jsdata.months[5].absences[12].absenceType}</t>
  </si>
  <si>
    <t>{jsdata.months[5].absences[13].absenceType}</t>
  </si>
  <si>
    <t>{jsdata.months[5].absences[14].absenceType}</t>
  </si>
  <si>
    <t>{jsdata.months[5].absences[15].absenceType}</t>
  </si>
  <si>
    <t>{jsdata.months[5].absences[16].absenceType}</t>
  </si>
  <si>
    <t>{jsdata.months[5].absences[17].absenceType}</t>
  </si>
  <si>
    <t>{jsdata.months[5].absences[18].absenceType}</t>
  </si>
  <si>
    <t>{jsdata.months[5].absences[19].absenceType}</t>
  </si>
  <si>
    <t>{jsdata.months[6].absences[0].absenceType}</t>
  </si>
  <si>
    <t>{jsdata.months[6].absences[1].absenceType}</t>
  </si>
  <si>
    <t>{jsdata.months[6].absences[2].absenceType}</t>
  </si>
  <si>
    <t>{jsdata.months[6].absences[3].absenceType}</t>
  </si>
  <si>
    <t>{jsdata.months[6].absences[4].absenceType}</t>
  </si>
  <si>
    <t>{jsdata.months[6].absences[5].absenceType}</t>
  </si>
  <si>
    <t>{jsdata.months[6].absences[6].absenceType}</t>
  </si>
  <si>
    <t>{jsdata.months[6].absences[7].absenceType}</t>
  </si>
  <si>
    <t>{jsdata.months[6].absences[8].absenceType}</t>
  </si>
  <si>
    <t>{jsdata.months[6].absences[9].absenceType}</t>
  </si>
  <si>
    <t>{jsdata.months[6].absences[10].absenceType}</t>
  </si>
  <si>
    <t>{jsdata.months[6].absences[11].absenceType}</t>
  </si>
  <si>
    <t>{jsdata.months[6].absences[12].absenceType}</t>
  </si>
  <si>
    <t>{jsdata.months[6].absences[13].absenceType}</t>
  </si>
  <si>
    <t>{jsdata.months[6].absences[14].absenceType}</t>
  </si>
  <si>
    <t>{jsdata.months[6].absences[15].absenceType}</t>
  </si>
  <si>
    <t>{jsdata.months[6].absences[16].absenceType}</t>
  </si>
  <si>
    <t>{jsdata.months[6].absences[17].absenceType}</t>
  </si>
  <si>
    <t>{jsdata.months[6].absences[18].absenceType}</t>
  </si>
  <si>
    <t>{jsdata.months[6].absences[19].absenceType}</t>
  </si>
  <si>
    <t>{jsdata.months[7].absences[0].absenceType}</t>
  </si>
  <si>
    <t>{jsdata.months[7].absences[1].absenceType}</t>
  </si>
  <si>
    <t>{jsdata.months[7].absences[2].absenceType}</t>
  </si>
  <si>
    <t>{jsdata.months[7].absences[3].absenceType}</t>
  </si>
  <si>
    <t>{jsdata.months[7].absences[4].absenceType}</t>
  </si>
  <si>
    <t>{jsdata.months[7].absences[5].absenceType}</t>
  </si>
  <si>
    <t>{jsdata.months[7].absences[6].absenceType}</t>
  </si>
  <si>
    <t>{jsdata.months[7].absences[7].absenceType}</t>
  </si>
  <si>
    <t>{jsdata.months[7].absences[8].absenceType}</t>
  </si>
  <si>
    <t>{jsdata.months[7].absences[9].absenceType}</t>
  </si>
  <si>
    <t>{jsdata.months[7].absences[10].absenceType}</t>
  </si>
  <si>
    <t>{jsdata.months[7].absences[11].absenceType}</t>
  </si>
  <si>
    <t>{jsdata.months[7].absences[12].absenceType}</t>
  </si>
  <si>
    <t>{jsdata.months[7].absences[13].absenceType}</t>
  </si>
  <si>
    <t>{jsdata.months[7].absences[14].absenceType}</t>
  </si>
  <si>
    <t>{jsdata.months[7].absences[15].absenceType}</t>
  </si>
  <si>
    <t>{jsdata.months[7].absences[16].absenceType}</t>
  </si>
  <si>
    <t>{jsdata.months[7].absences[17].absenceType}</t>
  </si>
  <si>
    <t>{jsdata.months[7].absences[18].absenceType}</t>
  </si>
  <si>
    <t>{jsdata.months[7].absences[19].absenceType}</t>
  </si>
  <si>
    <t>{jsdata.months[8].absences[0].absenceType}</t>
  </si>
  <si>
    <t>{jsdata.months[8].absences[1].absenceType}</t>
  </si>
  <si>
    <t>{jsdata.months[8].absences[2].absenceType}</t>
  </si>
  <si>
    <t>{jsdata.months[8].absences[3].absenceType}</t>
  </si>
  <si>
    <t>{jsdata.months[8].absences[4].absenceType}</t>
  </si>
  <si>
    <t>{jsdata.months[8].absences[5].absenceType}</t>
  </si>
  <si>
    <t>{jsdata.months[8].absences[6].absenceType}</t>
  </si>
  <si>
    <t>{jsdata.months[8].absences[7].absenceType}</t>
  </si>
  <si>
    <t>{jsdata.months[8].absences[8].absenceType}</t>
  </si>
  <si>
    <t>{jsdata.months[8].absences[9].absenceType}</t>
  </si>
  <si>
    <t>{jsdata.months[8].absences[10].absenceType}</t>
  </si>
  <si>
    <t>{jsdata.months[8].absences[11].absenceType}</t>
  </si>
  <si>
    <t>{jsdata.months[8].absences[12].absenceType}</t>
  </si>
  <si>
    <t>{jsdata.months[8].absences[13].absenceType}</t>
  </si>
  <si>
    <t>{jsdata.months[8].absences[14].absenceType}</t>
  </si>
  <si>
    <t>{jsdata.months[8].absences[15].absenceType}</t>
  </si>
  <si>
    <t>{jsdata.months[8].absences[16].absenceType}</t>
  </si>
  <si>
    <t>{jsdata.months[8].absences[17].absenceType}</t>
  </si>
  <si>
    <t>{jsdata.months[8].absences[18].absenceType}</t>
  </si>
  <si>
    <t>{jsdata.months[8].absences[19].absenceType}</t>
  </si>
  <si>
    <t>{jsdata.months[9].absences[0].absenceType}</t>
  </si>
  <si>
    <t>{jsdata.months[9].absences[1].absenceType}</t>
  </si>
  <si>
    <t>{jsdata.months[9].absences[2].absenceType}</t>
  </si>
  <si>
    <t>{jsdata.months[9].absences[3].absenceType}</t>
  </si>
  <si>
    <t>{jsdata.months[9].absences[4].absenceType}</t>
  </si>
  <si>
    <t>{jsdata.months[9].absences[5].absenceType}</t>
  </si>
  <si>
    <t>{jsdata.months[9].absences[6].absenceType}</t>
  </si>
  <si>
    <t>{jsdata.months[9].absences[7].absenceType}</t>
  </si>
  <si>
    <t>{jsdata.months[9].absences[8].absenceType}</t>
  </si>
  <si>
    <t>{jsdata.months[9].absences[9].absenceType}</t>
  </si>
  <si>
    <t>{jsdata.months[9].absences[10].absenceType}</t>
  </si>
  <si>
    <t>{jsdata.months[9].absences[11].absenceType}</t>
  </si>
  <si>
    <t>{jsdata.months[9].absences[12].absenceType}</t>
  </si>
  <si>
    <t>{jsdata.months[9].absences[13].absenceType}</t>
  </si>
  <si>
    <t>{jsdata.months[9].absences[14].absenceType}</t>
  </si>
  <si>
    <t>{jsdata.months[9].absences[15].absenceType}</t>
  </si>
  <si>
    <t>{jsdata.months[9].absences[16].absenceType}</t>
  </si>
  <si>
    <t>{jsdata.months[9].absences[17].absenceType}</t>
  </si>
  <si>
    <t>{jsdata.months[9].absences[18].absenceType}</t>
  </si>
  <si>
    <t>{jsdata.months[9].absences[19].absenceType}</t>
  </si>
  <si>
    <t>{jsdata.months[10].absences[0].absenceType}</t>
  </si>
  <si>
    <t>{jsdata.months[10].absences[1].absenceType}</t>
  </si>
  <si>
    <t>{jsdata.months[10].absences[2].absenceType}</t>
  </si>
  <si>
    <t>{jsdata.months[10].absences[3].absenceType}</t>
  </si>
  <si>
    <t>{jsdata.months[10].absences[4].absenceType}</t>
  </si>
  <si>
    <t>{jsdata.months[10].absences[5].absenceType}</t>
  </si>
  <si>
    <t>{jsdata.months[10].absences[6].absenceType}</t>
  </si>
  <si>
    <t>{jsdata.months[10].absences[7].absenceType}</t>
  </si>
  <si>
    <t>{jsdata.months[10].absences[8].absenceType}</t>
  </si>
  <si>
    <t>{jsdata.months[10].absences[9].absenceType}</t>
  </si>
  <si>
    <t>{jsdata.months[10].absences[10].absenceType}</t>
  </si>
  <si>
    <t>{jsdata.months[10].absences[11].absenceType}</t>
  </si>
  <si>
    <t>{jsdata.months[10].absences[12].absenceType}</t>
  </si>
  <si>
    <t>{jsdata.months[10].absences[13].absenceType}</t>
  </si>
  <si>
    <t>{jsdata.months[10].absences[14].absenceType}</t>
  </si>
  <si>
    <t>{jsdata.months[10].absences[15].absenceType}</t>
  </si>
  <si>
    <t>{jsdata.months[10].absences[16].absenceType}</t>
  </si>
  <si>
    <t>{jsdata.months[10].absences[17].absenceType}</t>
  </si>
  <si>
    <t>{jsdata.months[10].absences[18].absenceType}</t>
  </si>
  <si>
    <t>{jsdata.months[10].absences[19].absenceType}</t>
  </si>
  <si>
    <t>{jsdata.months[11].absences[0].absenceType}</t>
  </si>
  <si>
    <t>{jsdata.months[11].absences[1].absenceType}</t>
  </si>
  <si>
    <t>{jsdata.months[11].absences[2].absenceType}</t>
  </si>
  <si>
    <t>{jsdata.months[11].absences[3].absenceType}</t>
  </si>
  <si>
    <t>{jsdata.months[11].absences[4].absenceType}</t>
  </si>
  <si>
    <t>{jsdata.months[11].absences[5].absenceType}</t>
  </si>
  <si>
    <t>{jsdata.months[11].absences[6].absenceType}</t>
  </si>
  <si>
    <t>{jsdata.months[11].absences[7].absenceType}</t>
  </si>
  <si>
    <t>{jsdata.months[11].absences[8].absenceType}</t>
  </si>
  <si>
    <t>{jsdata.months[11].absences[9].absenceType}</t>
  </si>
  <si>
    <t>{jsdata.months[11].absences[10].absenceType}</t>
  </si>
  <si>
    <t>{jsdata.months[11].absences[11].absenceType}</t>
  </si>
  <si>
    <t>{jsdata.months[11].absences[12].absenceType}</t>
  </si>
  <si>
    <t>{jsdata.months[11].absences[13].absenceType}</t>
  </si>
  <si>
    <t>{jsdata.months[11].absences[14].absenceType}</t>
  </si>
  <si>
    <t>{jsdata.months[11].absences[15].absenceType}</t>
  </si>
  <si>
    <t>{jsdata.months[11].absences[16].absenceType}</t>
  </si>
  <si>
    <t>{jsdata.months[11].absences[17].absenceType}</t>
  </si>
  <si>
    <t>{jsdata.months[11].absences[18].absenceType}</t>
  </si>
  <si>
    <t>{jsdata.months[11].absences[19].absenceType}</t>
  </si>
  <si>
    <t>{jsdata.months[12].absences[0].absenceType}</t>
  </si>
  <si>
    <t>{jsdata.months[12].absences[1].absenceType}</t>
  </si>
  <si>
    <t>{jsdata.months[12].absences[2].absenceType}</t>
  </si>
  <si>
    <t>{jsdata.months[12].absences[3].absenceType}</t>
  </si>
  <si>
    <t>{jsdata.months[12].absences[4].absenceType}</t>
  </si>
  <si>
    <t>{jsdata.months[12].absences[5].absenceType}</t>
  </si>
  <si>
    <t>{jsdata.months[12].absences[6].absenceType}</t>
  </si>
  <si>
    <t>{jsdata.months[12].absences[7].absenceType}</t>
  </si>
  <si>
    <t>{jsdata.months[12].absences[8].absenceType}</t>
  </si>
  <si>
    <t>{jsdata.months[12].absences[9].absenceType}</t>
  </si>
  <si>
    <t>{jsdata.months[12].absences[10].absenceType}</t>
  </si>
  <si>
    <t>{jsdata.months[12].absences[11].absenceType}</t>
  </si>
  <si>
    <t>{jsdata.months[12].absences[12].absenceType}</t>
  </si>
  <si>
    <t>{jsdata.months[12].absences[13].absenceType}</t>
  </si>
  <si>
    <t>{jsdata.months[12].absences[14].absenceType}</t>
  </si>
  <si>
    <t>{jsdata.months[12].absences[15].absenceType}</t>
  </si>
  <si>
    <t>{jsdata.months[12].absences[16].absenceType}</t>
  </si>
  <si>
    <t>{jsdata.months[12].absences[17].absenceType}</t>
  </si>
  <si>
    <t>{jsdata.months[12].absences[18].absenceType}</t>
  </si>
  <si>
    <t>{jsdata.months[12].absences[19].absenceType}</t>
  </si>
  <si>
    <t>{jsdata.months[13].absences[0].absenceType}</t>
  </si>
  <si>
    <t>{jsdata.months[13].absences[1].absenceType}</t>
  </si>
  <si>
    <t>{jsdata.months[13].absences[2].absenceType}</t>
  </si>
  <si>
    <t>{jsdata.months[13].absences[3].absenceType}</t>
  </si>
  <si>
    <t>{jsdata.months[13].absences[4].absenceType}</t>
  </si>
  <si>
    <t>{jsdata.months[13].absences[5].absenceType}</t>
  </si>
  <si>
    <t>{jsdata.months[13].absences[6].absenceType}</t>
  </si>
  <si>
    <t>{jsdata.months[13].absences[7].absenceType}</t>
  </si>
  <si>
    <t>{jsdata.months[13].absences[8].absenceType}</t>
  </si>
  <si>
    <t>{jsdata.months[13].absences[9].absenceType}</t>
  </si>
  <si>
    <t>{jsdata.months[13].absences[10].absenceType}</t>
  </si>
  <si>
    <t>{jsdata.months[13].absences[11].absenceType}</t>
  </si>
  <si>
    <t>{jsdata.months[13].absences[12].absenceType}</t>
  </si>
  <si>
    <t>{jsdata.months[13].absences[13].absenceType}</t>
  </si>
  <si>
    <t>{jsdata.months[13].absences[14].absenceType}</t>
  </si>
  <si>
    <t>{jsdata.months[13].absences[15].absenceType}</t>
  </si>
  <si>
    <t>{jsdata.months[13].absences[16].absenceType}</t>
  </si>
  <si>
    <t>{jsdata.months[13].absences[17].absenceType}</t>
  </si>
  <si>
    <t>{jsdata.months[13].absences[18].absenceType}</t>
  </si>
  <si>
    <t>{jsdata.months[13].absences[19].absenceType}</t>
  </si>
  <si>
    <t>{jsdata.months[14].absences[0].absenceType}</t>
  </si>
  <si>
    <t>{jsdata.months[14].absences[1].absenceType}</t>
  </si>
  <si>
    <t>{jsdata.months[14].absences[2].absenceType}</t>
  </si>
  <si>
    <t>{jsdata.months[14].absences[3].absenceType}</t>
  </si>
  <si>
    <t>{jsdata.months[14].absences[4].absenceType}</t>
  </si>
  <si>
    <t>{jsdata.months[14].absences[5].absenceType}</t>
  </si>
  <si>
    <t>{jsdata.months[14].absences[6].absenceType}</t>
  </si>
  <si>
    <t>{jsdata.months[14].absences[7].absenceType}</t>
  </si>
  <si>
    <t>{jsdata.months[14].absences[8].absenceType}</t>
  </si>
  <si>
    <t>{jsdata.months[14].absences[9].absenceType}</t>
  </si>
  <si>
    <t>{jsdata.months[14].absences[10].absenceType}</t>
  </si>
  <si>
    <t>{jsdata.months[14].absences[11].absenceType}</t>
  </si>
  <si>
    <t>{jsdata.months[14].absences[12].absenceType}</t>
  </si>
  <si>
    <t>{jsdata.months[14].absences[13].absenceType}</t>
  </si>
  <si>
    <t>{jsdata.months[14].absences[14].absenceType}</t>
  </si>
  <si>
    <t>{jsdata.months[14].absences[15].absenceType}</t>
  </si>
  <si>
    <t>{jsdata.months[14].absences[16].absenceType}</t>
  </si>
  <si>
    <t>{jsdata.months[14].absences[17].absenceType}</t>
  </si>
  <si>
    <t>{jsdata.months[14].absences[18].absenceType}</t>
  </si>
  <si>
    <t>{jsdata.months[14].absences[19].absenceType}</t>
  </si>
  <si>
    <t>{jsdata.months[15].absences[0].absenceType}</t>
  </si>
  <si>
    <t>{jsdata.months[15].absences[1].absenceType}</t>
  </si>
  <si>
    <t>{jsdata.months[15].absences[2].absenceType}</t>
  </si>
  <si>
    <t>{jsdata.months[15].absences[3].absenceType}</t>
  </si>
  <si>
    <t>{jsdata.months[15].absences[4].absenceType}</t>
  </si>
  <si>
    <t>{jsdata.months[15].absences[5].absenceType}</t>
  </si>
  <si>
    <t>{jsdata.months[15].absences[6].absenceType}</t>
  </si>
  <si>
    <t>{jsdata.months[15].absences[7].absenceType}</t>
  </si>
  <si>
    <t>{jsdata.months[15].absences[8].absenceType}</t>
  </si>
  <si>
    <t>{jsdata.months[15].absences[9].absenceType}</t>
  </si>
  <si>
    <t>{jsdata.months[15].absences[10].absenceType}</t>
  </si>
  <si>
    <t>{jsdata.months[15].absences[11].absenceType}</t>
  </si>
  <si>
    <t>{jsdata.months[15].absences[12].absenceType}</t>
  </si>
  <si>
    <t>{jsdata.months[15].absences[13].absenceType}</t>
  </si>
  <si>
    <t>{jsdata.months[15].absences[14].absenceType}</t>
  </si>
  <si>
    <t>{jsdata.months[15].absences[15].absenceType}</t>
  </si>
  <si>
    <t>{jsdata.months[15].absences[16].absenceType}</t>
  </si>
  <si>
    <t>{jsdata.months[15].absences[17].absenceType}</t>
  </si>
  <si>
    <t>{jsdata.months[15].absences[18].absenceType}</t>
  </si>
  <si>
    <t>{jsdata.months[15].absences[19].absenceType}</t>
  </si>
  <si>
    <t>{jsdata.months[16].absences[0].absenceType}</t>
  </si>
  <si>
    <t>{jsdata.months[16].absences[1].absenceType}</t>
  </si>
  <si>
    <t>{jsdata.months[16].absences[2].absenceType}</t>
  </si>
  <si>
    <t>{jsdata.months[16].absences[3].absenceType}</t>
  </si>
  <si>
    <t>{jsdata.months[16].absences[4].absenceType}</t>
  </si>
  <si>
    <t>{jsdata.months[16].absences[5].absenceType}</t>
  </si>
  <si>
    <t>{jsdata.months[16].absences[6].absenceType}</t>
  </si>
  <si>
    <t>{jsdata.months[16].absences[7].absenceType}</t>
  </si>
  <si>
    <t>{jsdata.months[16].absences[8].absenceType}</t>
  </si>
  <si>
    <t>{jsdata.months[16].absences[9].absenceType}</t>
  </si>
  <si>
    <t>{jsdata.months[16].absences[10].absenceType}</t>
  </si>
  <si>
    <t>{jsdata.months[16].absences[11].absenceType}</t>
  </si>
  <si>
    <t>{jsdata.months[16].absences[12].absenceType}</t>
  </si>
  <si>
    <t>{jsdata.months[16].absences[13].absenceType}</t>
  </si>
  <si>
    <t>{jsdata.months[16].absences[14].absenceType}</t>
  </si>
  <si>
    <t>{jsdata.months[16].absences[15].absenceType}</t>
  </si>
  <si>
    <t>{jsdata.months[16].absences[16].absenceType}</t>
  </si>
  <si>
    <t>{jsdata.months[16].absences[17].absenceType}</t>
  </si>
  <si>
    <t>{jsdata.months[16].absences[18].absenceType}</t>
  </si>
  <si>
    <t>{jsdata.months[16].absences[19].absenceType}</t>
  </si>
  <si>
    <t>{jsdata.months[17].absences[0].absenceType}</t>
  </si>
  <si>
    <t>{jsdata.months[17].absences[1].absenceType}</t>
  </si>
  <si>
    <t>{jsdata.months[17].absences[2].absenceType}</t>
  </si>
  <si>
    <t>{jsdata.months[17].absences[3].absenceType}</t>
  </si>
  <si>
    <t>{jsdata.months[17].absences[4].absenceType}</t>
  </si>
  <si>
    <t>{jsdata.months[17].absences[5].absenceType}</t>
  </si>
  <si>
    <t>{jsdata.months[17].absences[6].absenceType}</t>
  </si>
  <si>
    <t>{jsdata.months[17].absences[7].absenceType}</t>
  </si>
  <si>
    <t>{jsdata.months[17].absences[8].absenceType}</t>
  </si>
  <si>
    <t>{jsdata.months[17].absences[9].absenceType}</t>
  </si>
  <si>
    <t>{jsdata.months[17].absences[10].absenceType}</t>
  </si>
  <si>
    <t>{jsdata.months[17].absences[11].absenceType}</t>
  </si>
  <si>
    <t>{jsdata.months[17].absences[12].absenceType}</t>
  </si>
  <si>
    <t>{jsdata.months[17].absences[13].absenceType}</t>
  </si>
  <si>
    <t>{jsdata.months[17].absences[14].absenceType}</t>
  </si>
  <si>
    <t>{jsdata.months[17].absences[15].absenceType}</t>
  </si>
  <si>
    <t>{jsdata.months[17].absences[16].absenceType}</t>
  </si>
  <si>
    <t>{jsdata.months[17].absences[17].absenceType}</t>
  </si>
  <si>
    <t>{jsdata.months[17].absences[18].absenceType}</t>
  </si>
  <si>
    <t>{jsdata.months[17].absences[19].absenceType}</t>
  </si>
  <si>
    <t>{jsdata.months[18].absences[0].absenceType}</t>
  </si>
  <si>
    <t>{jsdata.months[18].absences[1].absenceType}</t>
  </si>
  <si>
    <t>{jsdata.months[18].absences[2].absenceType}</t>
  </si>
  <si>
    <t>{jsdata.months[18].absences[3].absenceType}</t>
  </si>
  <si>
    <t>{jsdata.months[18].absences[4].absenceType}</t>
  </si>
  <si>
    <t>{jsdata.months[18].absences[5].absenceType}</t>
  </si>
  <si>
    <t>{jsdata.months[18].absences[6].absenceType}</t>
  </si>
  <si>
    <t>{jsdata.months[18].absences[7].absenceType}</t>
  </si>
  <si>
    <t>{jsdata.months[18].absences[8].absenceType}</t>
  </si>
  <si>
    <t>{jsdata.months[18].absences[9].absenceType}</t>
  </si>
  <si>
    <t>{jsdata.months[18].absences[10].absenceType}</t>
  </si>
  <si>
    <t>{jsdata.months[18].absences[11].absenceType}</t>
  </si>
  <si>
    <t>{jsdata.months[18].absences[12].absenceType}</t>
  </si>
  <si>
    <t>{jsdata.months[18].absences[13].absenceType}</t>
  </si>
  <si>
    <t>{jsdata.months[18].absences[14].absenceType}</t>
  </si>
  <si>
    <t>{jsdata.months[18].absences[15].absenceType}</t>
  </si>
  <si>
    <t>{jsdata.months[18].absences[16].absenceType}</t>
  </si>
  <si>
    <t>{jsdata.months[18].absences[17].absenceType}</t>
  </si>
  <si>
    <t>{jsdata.months[18].absences[18].absenceType}</t>
  </si>
  <si>
    <t>{jsdata.months[18].absences[19].absenceType}</t>
  </si>
  <si>
    <t>{jsdata.months[19].absences[0].absenceType}</t>
  </si>
  <si>
    <t>{jsdata.months[19].absences[1].absenceType}</t>
  </si>
  <si>
    <t>{jsdata.months[19].absences[2].absenceType}</t>
  </si>
  <si>
    <t>{jsdata.months[19].absences[3].absenceType}</t>
  </si>
  <si>
    <t>{jsdata.months[19].absences[4].absenceType}</t>
  </si>
  <si>
    <t>{jsdata.months[19].absences[5].absenceType}</t>
  </si>
  <si>
    <t>{jsdata.months[19].absences[6].absenceType}</t>
  </si>
  <si>
    <t>{jsdata.months[19].absences[7].absenceType}</t>
  </si>
  <si>
    <t>{jsdata.months[19].absences[8].absenceType}</t>
  </si>
  <si>
    <t>{jsdata.months[19].absences[9].absenceType}</t>
  </si>
  <si>
    <t>{jsdata.months[19].absences[10].absenceType}</t>
  </si>
  <si>
    <t>{jsdata.months[19].absences[11].absenceType}</t>
  </si>
  <si>
    <t>{jsdata.months[19].absences[12].absenceType}</t>
  </si>
  <si>
    <t>{jsdata.months[19].absences[13].absenceType}</t>
  </si>
  <si>
    <t>{jsdata.months[19].absences[14].absenceType}</t>
  </si>
  <si>
    <t>{jsdata.months[19].absences[15].absenceType}</t>
  </si>
  <si>
    <t>{jsdata.months[19].absences[16].absenceType}</t>
  </si>
  <si>
    <t>{jsdata.months[19].absences[17].absenceType}</t>
  </si>
  <si>
    <t>{jsdata.months[19].absences[18].absenceType}</t>
  </si>
  <si>
    <t>{jsdata.months[19].absences[19].absenceType}</t>
  </si>
  <si>
    <t>{jsdata.months[20].absences[0].absenceType}</t>
  </si>
  <si>
    <t>{jsdata.months[20].absences[1].absenceType}</t>
  </si>
  <si>
    <t>{jsdata.months[20].absences[2].absenceType}</t>
  </si>
  <si>
    <t>{jsdata.months[20].absences[3].absenceType}</t>
  </si>
  <si>
    <t>{jsdata.months[20].absences[4].absenceType}</t>
  </si>
  <si>
    <t>{jsdata.months[20].absences[5].absenceType}</t>
  </si>
  <si>
    <t>{jsdata.months[20].absences[6].absenceType}</t>
  </si>
  <si>
    <t>{jsdata.months[20].absences[7].absenceType}</t>
  </si>
  <si>
    <t>{jsdata.months[20].absences[8].absenceType}</t>
  </si>
  <si>
    <t>{jsdata.months[20].absences[9].absenceType}</t>
  </si>
  <si>
    <t>{jsdata.months[20].absences[10].absenceType}</t>
  </si>
  <si>
    <t>{jsdata.months[20].absences[11].absenceType}</t>
  </si>
  <si>
    <t>{jsdata.months[20].absences[12].absenceType}</t>
  </si>
  <si>
    <t>{jsdata.months[20].absences[13].absenceType}</t>
  </si>
  <si>
    <t>{jsdata.months[20].absences[14].absenceType}</t>
  </si>
  <si>
    <t>{jsdata.months[20].absences[15].absenceType}</t>
  </si>
  <si>
    <t>{jsdata.months[20].absences[16].absenceType}</t>
  </si>
  <si>
    <t>{jsdata.months[20].absences[17].absenceType}</t>
  </si>
  <si>
    <t>{jsdata.months[20].absences[18].absenceType}</t>
  </si>
  <si>
    <t>{jsdata.months[20].absences[19].absenceType}</t>
  </si>
  <si>
    <t>{jsdata.months[21].absences[0].absenceType}</t>
  </si>
  <si>
    <t>{jsdata.months[21].absences[1].absenceType}</t>
  </si>
  <si>
    <t>{jsdata.months[21].absences[2].absenceType}</t>
  </si>
  <si>
    <t>{jsdata.months[21].absences[3].absenceType}</t>
  </si>
  <si>
    <t>{jsdata.months[21].absences[4].absenceType}</t>
  </si>
  <si>
    <t>{jsdata.months[21].absences[5].absenceType}</t>
  </si>
  <si>
    <t>{jsdata.months[21].absences[6].absenceType}</t>
  </si>
  <si>
    <t>{jsdata.months[21].absences[7].absenceType}</t>
  </si>
  <si>
    <t>{jsdata.months[21].absences[8].absenceType}</t>
  </si>
  <si>
    <t>{jsdata.months[21].absences[9].absenceType}</t>
  </si>
  <si>
    <t>{jsdata.months[21].absences[10].absenceType}</t>
  </si>
  <si>
    <t>{jsdata.months[21].absences[11].absenceType}</t>
  </si>
  <si>
    <t>{jsdata.months[21].absences[12].absenceType}</t>
  </si>
  <si>
    <t>{jsdata.months[21].absences[13].absenceType}</t>
  </si>
  <si>
    <t>{jsdata.months[21].absences[14].absenceType}</t>
  </si>
  <si>
    <t>{jsdata.months[21].absences[15].absenceType}</t>
  </si>
  <si>
    <t>{jsdata.months[21].absences[16].absenceType}</t>
  </si>
  <si>
    <t>{jsdata.months[21].absences[17].absenceType}</t>
  </si>
  <si>
    <t>{jsdata.months[21].absences[18].absenceType}</t>
  </si>
  <si>
    <t>{jsdata.months[21].absences[19].absenceType}</t>
  </si>
  <si>
    <t>{jsdata.months[22].absences[0].absenceType}</t>
  </si>
  <si>
    <t>{jsdata.months[22].absences[1].absenceType}</t>
  </si>
  <si>
    <t>{jsdata.months[22].absences[2].absenceType}</t>
  </si>
  <si>
    <t>{jsdata.months[22].absences[3].absenceType}</t>
  </si>
  <si>
    <t>{jsdata.months[22].absences[4].absenceType}</t>
  </si>
  <si>
    <t>{jsdata.months[22].absences[5].absenceType}</t>
  </si>
  <si>
    <t>{jsdata.months[22].absences[6].absenceType}</t>
  </si>
  <si>
    <t>{jsdata.months[22].absences[7].absenceType}</t>
  </si>
  <si>
    <t>{jsdata.months[22].absences[8].absenceType}</t>
  </si>
  <si>
    <t>{jsdata.months[22].absences[9].absenceType}</t>
  </si>
  <si>
    <t>{jsdata.months[22].absences[10].absenceType}</t>
  </si>
  <si>
    <t>{jsdata.months[22].absences[11].absenceType}</t>
  </si>
  <si>
    <t>{jsdata.months[22].absences[12].absenceType}</t>
  </si>
  <si>
    <t>{jsdata.months[22].absences[13].absenceType}</t>
  </si>
  <si>
    <t>{jsdata.months[22].absences[14].absenceType}</t>
  </si>
  <si>
    <t>{jsdata.months[22].absences[15].absenceType}</t>
  </si>
  <si>
    <t>{jsdata.months[22].absences[16].absenceType}</t>
  </si>
  <si>
    <t>{jsdata.months[22].absences[17].absenceType}</t>
  </si>
  <si>
    <t>{jsdata.months[22].absences[18].absenceType}</t>
  </si>
  <si>
    <t>{jsdata.months[22].absences[19].absenceType}</t>
  </si>
  <si>
    <t>{jsdata.months[23].absences[0].absenceType}</t>
  </si>
  <si>
    <t>{jsdata.months[23].absences[1].absenceType}</t>
  </si>
  <si>
    <t>{jsdata.months[23].absences[2].absenceType}</t>
  </si>
  <si>
    <t>{jsdata.months[23].absences[3].absenceType}</t>
  </si>
  <si>
    <t>{jsdata.months[23].absences[4].absenceType}</t>
  </si>
  <si>
    <t>{jsdata.months[23].absences[5].absenceType}</t>
  </si>
  <si>
    <t>{jsdata.months[23].absences[6].absenceType}</t>
  </si>
  <si>
    <t>{jsdata.months[23].absences[7].absenceType}</t>
  </si>
  <si>
    <t>{jsdata.months[23].absences[8].absenceType}</t>
  </si>
  <si>
    <t>{jsdata.months[23].absences[9].absenceType}</t>
  </si>
  <si>
    <t>{jsdata.months[23].absences[10].absenceType}</t>
  </si>
  <si>
    <t>{jsdata.months[23].absences[11].absenceType}</t>
  </si>
  <si>
    <t>{jsdata.months[23].absences[12].absenceType}</t>
  </si>
  <si>
    <t>{jsdata.months[23].absences[13].absenceType}</t>
  </si>
  <si>
    <t>{jsdata.months[23].absences[14].absenceType}</t>
  </si>
  <si>
    <t>{jsdata.months[23].absences[15].absenceType}</t>
  </si>
  <si>
    <t>{jsdata.months[23].absences[16].absenceType}</t>
  </si>
  <si>
    <t>{jsdata.months[23].absences[17].absenceType}</t>
  </si>
  <si>
    <t>{jsdata.months[23].absences[18].absenceType}</t>
  </si>
  <si>
    <t>{jsdata.months[23].absences[19].absenceType}</t>
  </si>
  <si>
    <t>{jsdata.months[24].absences[0].absenceType}</t>
  </si>
  <si>
    <t>{jsdata.months[24].absences[1].absenceType}</t>
  </si>
  <si>
    <t>{jsdata.months[24].absences[2].absenceType}</t>
  </si>
  <si>
    <t>{jsdata.months[24].absences[3].absenceType}</t>
  </si>
  <si>
    <t>{jsdata.months[24].absences[4].absenceType}</t>
  </si>
  <si>
    <t>{jsdata.months[24].absences[5].absenceType}</t>
  </si>
  <si>
    <t>{jsdata.months[24].absences[6].absenceType}</t>
  </si>
  <si>
    <t>{jsdata.months[24].absences[7].absenceType}</t>
  </si>
  <si>
    <t>{jsdata.months[24].absences[8].absenceType}</t>
  </si>
  <si>
    <t>{jsdata.months[24].absences[9].absenceType}</t>
  </si>
  <si>
    <t>{jsdata.months[24].absences[10].absenceType}</t>
  </si>
  <si>
    <t>{jsdata.months[24].absences[11].absenceType}</t>
  </si>
  <si>
    <t>{jsdata.months[24].absences[12].absenceType}</t>
  </si>
  <si>
    <t>{jsdata.months[24].absences[13].absenceType}</t>
  </si>
  <si>
    <t>{jsdata.months[24].absences[14].absenceType}</t>
  </si>
  <si>
    <t>{jsdata.months[24].absences[15].absenceType}</t>
  </si>
  <si>
    <t>{jsdata.months[24].absences[16].absenceType}</t>
  </si>
  <si>
    <t>{jsdata.months[24].absences[17].absenceType}</t>
  </si>
  <si>
    <t>{jsdata.months[24].absences[18].absenceType}</t>
  </si>
  <si>
    <t>{jsdata.months[24].absences[19].absenceType}</t>
  </si>
  <si>
    <t>{jsdata.months[25].absences[0].absenceType}</t>
  </si>
  <si>
    <t>{jsdata.months[25].absences[1].absenceType}</t>
  </si>
  <si>
    <t>{jsdata.months[25].absences[2].absenceType}</t>
  </si>
  <si>
    <t>{jsdata.months[25].absences[3].absenceType}</t>
  </si>
  <si>
    <t>{jsdata.months[25].absences[4].absenceType}</t>
  </si>
  <si>
    <t>{jsdata.months[25].absences[5].absenceType}</t>
  </si>
  <si>
    <t>{jsdata.months[25].absences[6].absenceType}</t>
  </si>
  <si>
    <t>{jsdata.months[25].absences[7].absenceType}</t>
  </si>
  <si>
    <t>{jsdata.months[25].absences[8].absenceType}</t>
  </si>
  <si>
    <t>{jsdata.months[25].absences[9].absenceType}</t>
  </si>
  <si>
    <t>{jsdata.months[25].absences[10].absenceType}</t>
  </si>
  <si>
    <t>{jsdata.months[25].absences[11].absenceType}</t>
  </si>
  <si>
    <t>{jsdata.months[25].absences[12].absenceType}</t>
  </si>
  <si>
    <t>{jsdata.months[25].absences[13].absenceType}</t>
  </si>
  <si>
    <t>{jsdata.months[25].absences[14].absenceType}</t>
  </si>
  <si>
    <t>{jsdata.months[25].absences[15].absenceType}</t>
  </si>
  <si>
    <t>{jsdata.months[25].absences[16].absenceType}</t>
  </si>
  <si>
    <t>{jsdata.months[25].absences[17].absenceType}</t>
  </si>
  <si>
    <t>{jsdata.months[25].absences[18].absenceType}</t>
  </si>
  <si>
    <t>{jsdata.months[25].absences[19].absenceType}</t>
  </si>
  <si>
    <t>{jsdata.months[26].absences[0].absenceType}</t>
  </si>
  <si>
    <t>{jsdata.months[26].absences[1].absenceType}</t>
  </si>
  <si>
    <t>{jsdata.months[26].absences[2].absenceType}</t>
  </si>
  <si>
    <t>{jsdata.months[26].absences[3].absenceType}</t>
  </si>
  <si>
    <t>{jsdata.months[26].absences[4].absenceType}</t>
  </si>
  <si>
    <t>{jsdata.months[26].absences[5].absenceType}</t>
  </si>
  <si>
    <t>{jsdata.months[26].absences[6].absenceType}</t>
  </si>
  <si>
    <t>{jsdata.months[26].absences[7].absenceType}</t>
  </si>
  <si>
    <t>{jsdata.months[26].absences[8].absenceType}</t>
  </si>
  <si>
    <t>{jsdata.months[26].absences[9].absenceType}</t>
  </si>
  <si>
    <t>{jsdata.months[26].absences[10].absenceType}</t>
  </si>
  <si>
    <t>{jsdata.months[26].absences[11].absenceType}</t>
  </si>
  <si>
    <t>{jsdata.months[26].absences[12].absenceType}</t>
  </si>
  <si>
    <t>{jsdata.months[26].absences[13].absenceType}</t>
  </si>
  <si>
    <t>{jsdata.months[26].absences[14].absenceType}</t>
  </si>
  <si>
    <t>{jsdata.months[26].absences[15].absenceType}</t>
  </si>
  <si>
    <t>{jsdata.months[26].absences[16].absenceType}</t>
  </si>
  <si>
    <t>{jsdata.months[26].absences[17].absenceType}</t>
  </si>
  <si>
    <t>{jsdata.months[26].absences[18].absenceType}</t>
  </si>
  <si>
    <t>{jsdata.months[26].absences[19].absenceType}</t>
  </si>
  <si>
    <t>{jsdata.months[27].absences[0].absenceType}</t>
  </si>
  <si>
    <t>{jsdata.months[27].absences[1].absenceType}</t>
  </si>
  <si>
    <t>{jsdata.months[27].absences[2].absenceType}</t>
  </si>
  <si>
    <t>{jsdata.months[27].absences[3].absenceType}</t>
  </si>
  <si>
    <t>{jsdata.months[27].absences[4].absenceType}</t>
  </si>
  <si>
    <t>{jsdata.months[27].absences[5].absenceType}</t>
  </si>
  <si>
    <t>{jsdata.months[27].absences[6].absenceType}</t>
  </si>
  <si>
    <t>{jsdata.months[27].absences[7].absenceType}</t>
  </si>
  <si>
    <t>{jsdata.months[27].absences[8].absenceType}</t>
  </si>
  <si>
    <t>{jsdata.months[27].absences[9].absenceType}</t>
  </si>
  <si>
    <t>{jsdata.months[27].absences[10].absenceType}</t>
  </si>
  <si>
    <t>{jsdata.months[27].absences[11].absenceType}</t>
  </si>
  <si>
    <t>{jsdata.months[27].absences[12].absenceType}</t>
  </si>
  <si>
    <t>{jsdata.months[27].absences[13].absenceType}</t>
  </si>
  <si>
    <t>{jsdata.months[27].absences[14].absenceType}</t>
  </si>
  <si>
    <t>{jsdata.months[27].absences[15].absenceType}</t>
  </si>
  <si>
    <t>{jsdata.months[27].absences[16].absenceType}</t>
  </si>
  <si>
    <t>{jsdata.months[27].absences[17].absenceType}</t>
  </si>
  <si>
    <t>{jsdata.months[27].absences[18].absenceType}</t>
  </si>
  <si>
    <t>{jsdata.months[27].absences[19].absenceType}</t>
  </si>
  <si>
    <t>{jsdata.months[28].absences[0].absenceType}</t>
  </si>
  <si>
    <t>{jsdata.months[28].absences[1].absenceType}</t>
  </si>
  <si>
    <t>{jsdata.months[28].absences[2].absenceType}</t>
  </si>
  <si>
    <t>{jsdata.months[28].absences[3].absenceType}</t>
  </si>
  <si>
    <t>{jsdata.months[28].absences[4].absenceType}</t>
  </si>
  <si>
    <t>{jsdata.months[28].absences[5].absenceType}</t>
  </si>
  <si>
    <t>{jsdata.months[28].absences[6].absenceType}</t>
  </si>
  <si>
    <t>{jsdata.months[28].absences[7].absenceType}</t>
  </si>
  <si>
    <t>{jsdata.months[28].absences[8].absenceType}</t>
  </si>
  <si>
    <t>{jsdata.months[28].absences[9].absenceType}</t>
  </si>
  <si>
    <t>{jsdata.months[28].absences[10].absenceType}</t>
  </si>
  <si>
    <t>{jsdata.months[28].absences[11].absenceType}</t>
  </si>
  <si>
    <t>{jsdata.months[28].absences[12].absenceType}</t>
  </si>
  <si>
    <t>{jsdata.months[28].absences[13].absenceType}</t>
  </si>
  <si>
    <t>{jsdata.months[28].absences[14].absenceType}</t>
  </si>
  <si>
    <t>{jsdata.months[28].absences[15].absenceType}</t>
  </si>
  <si>
    <t>{jsdata.months[28].absences[16].absenceType}</t>
  </si>
  <si>
    <t>{jsdata.months[28].absences[17].absenceType}</t>
  </si>
  <si>
    <t>{jsdata.months[28].absences[18].absenceType}</t>
  </si>
  <si>
    <t>{jsdata.months[28].absences[19].absenceType}</t>
  </si>
  <si>
    <t>{jsdata.months[29].absences[0].absenceType}</t>
  </si>
  <si>
    <t>{jsdata.months[29].absences[1].absenceType}</t>
  </si>
  <si>
    <t>{jsdata.months[29].absences[2].absenceType}</t>
  </si>
  <si>
    <t>{jsdata.months[29].absences[3].absenceType}</t>
  </si>
  <si>
    <t>{jsdata.months[29].absences[4].absenceType}</t>
  </si>
  <si>
    <t>{jsdata.months[29].absences[5].absenceType}</t>
  </si>
  <si>
    <t>{jsdata.months[29].absences[6].absenceType}</t>
  </si>
  <si>
    <t>{jsdata.months[29].absences[7].absenceType}</t>
  </si>
  <si>
    <t>{jsdata.months[29].absences[8].absenceType}</t>
  </si>
  <si>
    <t>{jsdata.months[29].absences[9].absenceType}</t>
  </si>
  <si>
    <t>{jsdata.months[29].absences[10].absenceType}</t>
  </si>
  <si>
    <t>{jsdata.months[29].absences[11].absenceType}</t>
  </si>
  <si>
    <t>{jsdata.months[29].absences[12].absenceType}</t>
  </si>
  <si>
    <t>{jsdata.months[29].absences[13].absenceType}</t>
  </si>
  <si>
    <t>{jsdata.months[29].absences[14].absenceType}</t>
  </si>
  <si>
    <t>{jsdata.months[29].absences[15].absenceType}</t>
  </si>
  <si>
    <t>{jsdata.months[29].absences[16].absenceType}</t>
  </si>
  <si>
    <t>{jsdata.months[29].absences[17].absenceType}</t>
  </si>
  <si>
    <t>{jsdata.months[29].absences[18].absenceType}</t>
  </si>
  <si>
    <t>{jsdata.months[29].absences[19].absenceType}</t>
  </si>
  <si>
    <t>{jsdata.months[30].absences[0].absenceType}</t>
  </si>
  <si>
    <t>{jsdata.months[30].absences[1].absenceType}</t>
  </si>
  <si>
    <t>{jsdata.months[30].absences[2].absenceType}</t>
  </si>
  <si>
    <t>{jsdata.months[30].absences[3].absenceType}</t>
  </si>
  <si>
    <t>{jsdata.months[30].absences[4].absenceType}</t>
  </si>
  <si>
    <t>{jsdata.months[30].absences[5].absenceType}</t>
  </si>
  <si>
    <t>{jsdata.months[30].absences[6].absenceType}</t>
  </si>
  <si>
    <t>{jsdata.months[30].absences[7].absenceType}</t>
  </si>
  <si>
    <t>{jsdata.months[30].absences[8].absenceType}</t>
  </si>
  <si>
    <t>{jsdata.months[30].absences[9].absenceType}</t>
  </si>
  <si>
    <t>{jsdata.months[30].absences[10].absenceType}</t>
  </si>
  <si>
    <t>{jsdata.months[30].absences[11].absenceType}</t>
  </si>
  <si>
    <t>{jsdata.months[30].absences[12].absenceType}</t>
  </si>
  <si>
    <t>{jsdata.months[30].absences[13].absenceType}</t>
  </si>
  <si>
    <t>{jsdata.months[30].absences[14].absenceType}</t>
  </si>
  <si>
    <t>{jsdata.months[30].absences[15].absenceType}</t>
  </si>
  <si>
    <t>{jsdata.months[30].absences[16].absenceType}</t>
  </si>
  <si>
    <t>{jsdata.months[30].absences[17].absenceType}</t>
  </si>
  <si>
    <t>{jsdata.months[30].absences[18].absenceType}</t>
  </si>
  <si>
    <t>{jsdata.months[30].absences[19].absenceType}</t>
  </si>
  <si>
    <t>{jsdata.months[31].absences[0].absenceType}</t>
  </si>
  <si>
    <t>{jsdata.months[31].absences[1].absenceType}</t>
  </si>
  <si>
    <t>{jsdata.months[31].absences[2].absenceType}</t>
  </si>
  <si>
    <t>{jsdata.months[31].absences[3].absenceType}</t>
  </si>
  <si>
    <t>{jsdata.months[31].absences[4].absenceType}</t>
  </si>
  <si>
    <t>{jsdata.months[31].absences[5].absenceType}</t>
  </si>
  <si>
    <t>{jsdata.months[31].absences[6].absenceType}</t>
  </si>
  <si>
    <t>{jsdata.months[31].absences[7].absenceType}</t>
  </si>
  <si>
    <t>{jsdata.months[31].absences[8].absenceType}</t>
  </si>
  <si>
    <t>{jsdata.months[31].absences[9].absenceType}</t>
  </si>
  <si>
    <t>{jsdata.months[31].absences[10].absenceType}</t>
  </si>
  <si>
    <t>{jsdata.months[31].absences[11].absenceType}</t>
  </si>
  <si>
    <t>{jsdata.months[31].absences[12].absenceType}</t>
  </si>
  <si>
    <t>{jsdata.months[31].absences[13].absenceType}</t>
  </si>
  <si>
    <t>{jsdata.months[31].absences[14].absenceType}</t>
  </si>
  <si>
    <t>{jsdata.months[31].absences[15].absenceType}</t>
  </si>
  <si>
    <t>{jsdata.months[31].absences[16].absenceType}</t>
  </si>
  <si>
    <t>{jsdata.months[31].absences[17].absenceType}</t>
  </si>
  <si>
    <t>{jsdata.months[31].absences[18].absenceType}</t>
  </si>
  <si>
    <t>{jsdata.months[31].absences[19].absenceType}</t>
  </si>
  <si>
    <t>{jsdata.months[32].absences[0].absenceType}</t>
  </si>
  <si>
    <t>{jsdata.months[32].absences[1].absenceType}</t>
  </si>
  <si>
    <t>{jsdata.months[32].absences[2].absenceType}</t>
  </si>
  <si>
    <t>{jsdata.months[32].absences[3].absenceType}</t>
  </si>
  <si>
    <t>{jsdata.months[32].absences[4].absenceType}</t>
  </si>
  <si>
    <t>{jsdata.months[32].absences[5].absenceType}</t>
  </si>
  <si>
    <t>{jsdata.months[32].absences[6].absenceType}</t>
  </si>
  <si>
    <t>{jsdata.months[32].absences[7].absenceType}</t>
  </si>
  <si>
    <t>{jsdata.months[32].absences[8].absenceType}</t>
  </si>
  <si>
    <t>{jsdata.months[32].absences[9].absenceType}</t>
  </si>
  <si>
    <t>{jsdata.months[32].absences[10].absenceType}</t>
  </si>
  <si>
    <t>{jsdata.months[32].absences[11].absenceType}</t>
  </si>
  <si>
    <t>{jsdata.months[32].absences[12].absenceType}</t>
  </si>
  <si>
    <t>{jsdata.months[32].absences[13].absenceType}</t>
  </si>
  <si>
    <t>{jsdata.months[32].absences[14].absenceType}</t>
  </si>
  <si>
    <t>{jsdata.months[32].absences[15].absenceType}</t>
  </si>
  <si>
    <t>{jsdata.months[32].absences[16].absenceType}</t>
  </si>
  <si>
    <t>{jsdata.months[32].absences[17].absenceType}</t>
  </si>
  <si>
    <t>{jsdata.months[32].absences[18].absenceType}</t>
  </si>
  <si>
    <t>{jsdata.months[32].absences[19].absenceType}</t>
  </si>
  <si>
    <t>{jsdata.months[33].absences[0].absenceType}</t>
  </si>
  <si>
    <t>{jsdata.months[33].absences[1].absenceType}</t>
  </si>
  <si>
    <t>{jsdata.months[33].absences[2].absenceType}</t>
  </si>
  <si>
    <t>{jsdata.months[33].absences[3].absenceType}</t>
  </si>
  <si>
    <t>{jsdata.months[33].absences[4].absenceType}</t>
  </si>
  <si>
    <t>{jsdata.months[33].absences[5].absenceType}</t>
  </si>
  <si>
    <t>{jsdata.months[33].absences[6].absenceType}</t>
  </si>
  <si>
    <t>{jsdata.months[33].absences[7].absenceType}</t>
  </si>
  <si>
    <t>{jsdata.months[33].absences[8].absenceType}</t>
  </si>
  <si>
    <t>{jsdata.months[33].absences[9].absenceType}</t>
  </si>
  <si>
    <t>{jsdata.months[33].absences[10].absenceType}</t>
  </si>
  <si>
    <t>{jsdata.months[33].absences[11].absenceType}</t>
  </si>
  <si>
    <t>{jsdata.months[33].absences[12].absenceType}</t>
  </si>
  <si>
    <t>{jsdata.months[33].absences[13].absenceType}</t>
  </si>
  <si>
    <t>{jsdata.months[33].absences[14].absenceType}</t>
  </si>
  <si>
    <t>{jsdata.months[33].absences[15].absenceType}</t>
  </si>
  <si>
    <t>{jsdata.months[33].absences[16].absenceType}</t>
  </si>
  <si>
    <t>{jsdata.months[33].absences[17].absenceType}</t>
  </si>
  <si>
    <t>{jsdata.months[33].absences[18].absenceType}</t>
  </si>
  <si>
    <t>{jsdata.months[33].absences[19].absenceType}</t>
  </si>
  <si>
    <t>{jsdata.months[34].absences[0].absenceType}</t>
  </si>
  <si>
    <t>{jsdata.months[34].absences[1].absenceType}</t>
  </si>
  <si>
    <t>{jsdata.months[34].absences[2].absenceType}</t>
  </si>
  <si>
    <t>{jsdata.months[34].absences[3].absenceType}</t>
  </si>
  <si>
    <t>{jsdata.months[34].absences[4].absenceType}</t>
  </si>
  <si>
    <t>{jsdata.months[34].absences[5].absenceType}</t>
  </si>
  <si>
    <t>{jsdata.months[34].absences[6].absenceType}</t>
  </si>
  <si>
    <t>{jsdata.months[34].absences[7].absenceType}</t>
  </si>
  <si>
    <t>{jsdata.months[34].absences[8].absenceType}</t>
  </si>
  <si>
    <t>{jsdata.months[34].absences[9].absenceType}</t>
  </si>
  <si>
    <t>{jsdata.months[34].absences[10].absenceType}</t>
  </si>
  <si>
    <t>{jsdata.months[34].absences[11].absenceType}</t>
  </si>
  <si>
    <t>{jsdata.months[34].absences[12].absenceType}</t>
  </si>
  <si>
    <t>{jsdata.months[34].absences[13].absenceType}</t>
  </si>
  <si>
    <t>{jsdata.months[34].absences[14].absenceType}</t>
  </si>
  <si>
    <t>{jsdata.months[34].absences[15].absenceType}</t>
  </si>
  <si>
    <t>{jsdata.months[34].absences[16].absenceType}</t>
  </si>
  <si>
    <t>{jsdata.months[34].absences[17].absenceType}</t>
  </si>
  <si>
    <t>{jsdata.months[34].absences[18].absenceType}</t>
  </si>
  <si>
    <t>{jsdata.months[34].absences[19].absenceType}</t>
  </si>
  <si>
    <t>{jsdata.months[35].absences[0].absenceType}</t>
  </si>
  <si>
    <t>{jsdata.months[35].absences[1].absenceType}</t>
  </si>
  <si>
    <t>{jsdata.months[35].absences[2].absenceType}</t>
  </si>
  <si>
    <t>{jsdata.months[35].absences[3].absenceType}</t>
  </si>
  <si>
    <t>{jsdata.months[35].absences[4].absenceType}</t>
  </si>
  <si>
    <t>{jsdata.months[35].absences[5].absenceType}</t>
  </si>
  <si>
    <t>{jsdata.months[35].absences[6].absenceType}</t>
  </si>
  <si>
    <t>{jsdata.months[35].absences[7].absenceType}</t>
  </si>
  <si>
    <t>{jsdata.months[35].absences[8].absenceType}</t>
  </si>
  <si>
    <t>{jsdata.months[35].absences[9].absenceType}</t>
  </si>
  <si>
    <t>{jsdata.months[35].absences[10].absenceType}</t>
  </si>
  <si>
    <t>{jsdata.months[35].absences[11].absenceType}</t>
  </si>
  <si>
    <t>{jsdata.months[35].absences[12].absenceType}</t>
  </si>
  <si>
    <t>{jsdata.months[35].absences[13].absenceType}</t>
  </si>
  <si>
    <t>{jsdata.months[35].absences[14].absenceType}</t>
  </si>
  <si>
    <t>{jsdata.months[35].absences[15].absenceType}</t>
  </si>
  <si>
    <t>{jsdata.months[35].absences[16].absenceType}</t>
  </si>
  <si>
    <t>{jsdata.months[35].absences[17].absenceType}</t>
  </si>
  <si>
    <t>{jsdata.months[35].absences[18].absenceType}</t>
  </si>
  <si>
    <t>{jsdata.months[35].absences[19].absenceType}</t>
  </si>
  <si>
    <t>{jsdata.months[36].absences[0].absenceType}</t>
  </si>
  <si>
    <t>{jsdata.months[36].absences[1].absenceType}</t>
  </si>
  <si>
    <t>{jsdata.months[36].absences[2].absenceType}</t>
  </si>
  <si>
    <t>{jsdata.months[36].absences[3].absenceType}</t>
  </si>
  <si>
    <t>{jsdata.months[36].absences[4].absenceType}</t>
  </si>
  <si>
    <t>{jsdata.months[36].absences[5].absenceType}</t>
  </si>
  <si>
    <t>{jsdata.months[36].absences[6].absenceType}</t>
  </si>
  <si>
    <t>{jsdata.months[36].absences[7].absenceType}</t>
  </si>
  <si>
    <t>{jsdata.months[36].absences[8].absenceType}</t>
  </si>
  <si>
    <t>{jsdata.months[36].absences[9].absenceType}</t>
  </si>
  <si>
    <t>{jsdata.months[36].absences[10].absenceType}</t>
  </si>
  <si>
    <t>{jsdata.months[36].absences[11].absenceType}</t>
  </si>
  <si>
    <t>{jsdata.months[36].absences[12].absenceType}</t>
  </si>
  <si>
    <t>{jsdata.months[36].absences[13].absenceType}</t>
  </si>
  <si>
    <t>{jsdata.months[36].absences[14].absenceType}</t>
  </si>
  <si>
    <t>{jsdata.months[36].absences[15].absenceType}</t>
  </si>
  <si>
    <t>{jsdata.months[36].absences[16].absenceType}</t>
  </si>
  <si>
    <t>{jsdata.months[36].absences[17].absenceType}</t>
  </si>
  <si>
    <t>{jsdata.months[36].absences[18].absenceType}</t>
  </si>
  <si>
    <t>{jsdata.months[36].absences[19].absenceType}</t>
  </si>
  <si>
    <t>ResourcePresenceTimeSaldo</t>
  </si>
  <si>
    <t>INTRASOFT/BOTTSTONE Presence Time</t>
  </si>
  <si>
    <t>{jsdata.month}</t>
  </si>
  <si>
    <t>{jsdata.exportedBy.resource ? jsdata.exportedBy.resource.description : ''}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</si>
</sst>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mmmm\ yyyy"/>
    <numFmt numFmtId="165" formatCode="\⚠;;;@"/>
    <numFmt numFmtId="166" formatCode="ddd;;@"/>
    <numFmt numFmtId="167" formatCode="dd;;@"/>
    <numFmt numFmtId="168" formatCode="[hh]:mm;;;@"/>
    <numFmt numFmtId="169" formatCode="[hh]:mm;\-[hh]:mm;;@"/>
    <numFmt numFmtId="170" formatCode="mm/yyyy"/>
    <numFmt numFmtId="171" formatCode="0.0"/>
    <numFmt numFmtId="172" formatCode="&quot;-&quot;mm/yy;;;@"/>
    <numFmt numFmtId="173" formatCode="mm/yy"/>
    <numFmt numFmtId="174" formatCode="dd/mm/"/>
    <numFmt numFmtId="175" formatCode="0.0;\-0.0;;@"/>
    <numFmt numFmtId="176" formatCode=";;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0" tint="-0.1499679555650502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0" tint="-0.1499679555650502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0" tint="-0.14996795556505021"/>
      </top>
      <bottom style="thin">
        <color theme="8" tint="-0.2499465926084170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3" borderId="0" xfId="0" applyFill="1"/>
    <xf numFmtId="14" fontId="0" fillId="0" borderId="0" xfId="0" applyNumberFormat="1"/>
    <xf numFmtId="14" fontId="0" fillId="3" borderId="0" xfId="0" applyNumberFormat="1" applyFill="1"/>
    <xf numFmtId="0" fontId="5" fillId="0" borderId="0" xfId="0" applyFont="1" applyAlignment="1">
      <alignment vertical="center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" fillId="5" borderId="5" xfId="0" applyFont="1" applyFill="1" applyBorder="1" applyAlignment="1">
      <alignment vertical="center"/>
    </xf>
    <xf numFmtId="168" fontId="0" fillId="4" borderId="6" xfId="0" applyNumberFormat="1" applyFill="1" applyBorder="1" applyAlignment="1">
      <alignment horizontal="center" vertical="center"/>
    </xf>
    <xf numFmtId="0" fontId="3" fillId="5" borderId="7" xfId="0" applyFont="1" applyFill="1" applyBorder="1" applyAlignment="1">
      <alignment vertical="center"/>
    </xf>
    <xf numFmtId="168" fontId="0" fillId="4" borderId="8" xfId="0" applyNumberFormat="1" applyFill="1" applyBorder="1" applyAlignment="1">
      <alignment horizontal="center" vertical="center"/>
    </xf>
    <xf numFmtId="0" fontId="3" fillId="5" borderId="7" xfId="0" quotePrefix="1" applyFont="1" applyFill="1" applyBorder="1" applyAlignment="1">
      <alignment vertical="center"/>
    </xf>
    <xf numFmtId="167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71" fontId="0" fillId="0" borderId="0" xfId="0" applyNumberFormat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2" xfId="0" quotePrefix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" fontId="0" fillId="6" borderId="11" xfId="0" applyNumberFormat="1" applyFill="1" applyBorder="1" applyAlignment="1">
      <alignment horizontal="center" vertical="center"/>
    </xf>
    <xf numFmtId="172" fontId="0" fillId="6" borderId="12" xfId="0" applyNumberFormat="1" applyFill="1" applyBorder="1" applyAlignment="1">
      <alignment horizontal="center" vertical="center"/>
    </xf>
    <xf numFmtId="173" fontId="0" fillId="6" borderId="12" xfId="0" applyNumberFormat="1" applyFill="1" applyBorder="1" applyAlignment="1">
      <alignment horizontal="center" vertical="center"/>
    </xf>
    <xf numFmtId="174" fontId="0" fillId="5" borderId="13" xfId="0" applyNumberFormat="1" applyFill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" xfId="0" applyNumberForma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68" fontId="0" fillId="0" borderId="0" xfId="0" applyNumberFormat="1" applyAlignment="1">
      <alignment horizontal="center" vertical="center"/>
    </xf>
    <xf numFmtId="0" fontId="3" fillId="5" borderId="0" xfId="0" quotePrefix="1" applyFont="1" applyFill="1" applyAlignment="1">
      <alignment vertical="center"/>
    </xf>
    <xf numFmtId="169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top" wrapText="1"/>
    </xf>
    <xf numFmtId="0" fontId="0" fillId="4" borderId="15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8" fontId="0" fillId="0" borderId="0" xfId="0" applyNumberFormat="1" applyAlignment="1">
      <alignment horizontal="left" vertical="center"/>
    </xf>
    <xf numFmtId="176" fontId="3" fillId="5" borderId="5" xfId="0" applyNumberFormat="1" applyFont="1" applyFill="1" applyBorder="1" applyAlignment="1">
      <alignment vertical="center"/>
    </xf>
    <xf numFmtId="176" fontId="0" fillId="5" borderId="5" xfId="0" applyNumberFormat="1" applyFill="1" applyBorder="1" applyAlignment="1">
      <alignment vertical="center"/>
    </xf>
    <xf numFmtId="176" fontId="3" fillId="5" borderId="7" xfId="0" applyNumberFormat="1" applyFont="1" applyFill="1" applyBorder="1" applyAlignment="1">
      <alignment vertical="center"/>
    </xf>
    <xf numFmtId="176" fontId="0" fillId="5" borderId="7" xfId="0" applyNumberFormat="1" applyFill="1" applyBorder="1" applyAlignment="1">
      <alignment vertical="center"/>
    </xf>
    <xf numFmtId="175" fontId="0" fillId="4" borderId="6" xfId="0" applyNumberFormat="1" applyFill="1" applyBorder="1" applyAlignment="1">
      <alignment horizontal="center" vertical="center"/>
    </xf>
    <xf numFmtId="175" fontId="0" fillId="4" borderId="8" xfId="0" applyNumberFormat="1" applyFill="1" applyBorder="1" applyAlignment="1">
      <alignment horizontal="center" vertical="center"/>
    </xf>
    <xf numFmtId="175" fontId="0" fillId="4" borderId="16" xfId="0" applyNumberForma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5" borderId="7" xfId="0" applyFont="1" applyFill="1" applyBorder="1" applyAlignment="1">
      <alignment vertical="center"/>
    </xf>
    <xf numFmtId="168" fontId="0" fillId="4" borderId="9" xfId="0" applyNumberFormat="1" applyFill="1" applyBorder="1" applyAlignment="1">
      <alignment horizontal="center" vertical="center"/>
    </xf>
    <xf numFmtId="168" fontId="0" fillId="4" borderId="14" xfId="0" applyNumberFormat="1" applyFill="1" applyBorder="1" applyAlignment="1">
      <alignment horizontal="center" vertical="center"/>
    </xf>
    <xf numFmtId="168" fontId="0" fillId="4" borderId="10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0" xfId="0" applyFont="1" applyAlignment="1">
      <alignment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theme="8" tint="0.79998168889431442"/>
        </patternFill>
      </fill>
      <border>
        <right style="thin">
          <color theme="0"/>
        </right>
      </border>
    </dxf>
    <dxf>
      <border>
        <bottom style="thin">
          <color theme="0" tint="-0.1499679555650502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theme="0"/>
        </right>
        <vertical/>
        <horizontal/>
      </border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Balances Timeline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Details!$A$38</c:f>
              <c:strCache>
                <c:ptCount val="1"/>
                <c:pt idx="0">
                  <c:v>Flexitime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Details!$B$26:$Z$26</c:f>
              <c:numCache>
                <c:formatCode>mm/yyyy</c:formatCode>
                <c:ptCount val="25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  <c:pt idx="12">
                  <c:v>44986</c:v>
                </c:pt>
                <c:pt idx="13">
                  <c:v>45017</c:v>
                </c:pt>
                <c:pt idx="14">
                  <c:v>45047</c:v>
                </c:pt>
                <c:pt idx="15">
                  <c:v>45078</c:v>
                </c:pt>
                <c:pt idx="16">
                  <c:v>45108</c:v>
                </c:pt>
                <c:pt idx="17">
                  <c:v>45139</c:v>
                </c:pt>
                <c:pt idx="18">
                  <c:v>45170</c:v>
                </c:pt>
                <c:pt idx="19">
                  <c:v>45200</c:v>
                </c:pt>
                <c:pt idx="20">
                  <c:v>45231</c:v>
                </c:pt>
                <c:pt idx="21">
                  <c:v>45261</c:v>
                </c:pt>
                <c:pt idx="22">
                  <c:v>45292</c:v>
                </c:pt>
                <c:pt idx="23">
                  <c:v>45323</c:v>
                </c:pt>
                <c:pt idx="24">
                  <c:v>45352</c:v>
                </c:pt>
              </c:numCache>
            </c:numRef>
          </c:cat>
          <c:val>
            <c:numRef>
              <c:f>Details!$B$27:$Z$27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B-4A18-8668-2FD6CB60C670}"/>
            </c:ext>
          </c:extLst>
        </c:ser>
        <c:ser>
          <c:idx val="1"/>
          <c:order val="1"/>
          <c:tx>
            <c:strRef>
              <c:f>Details!$A$39</c:f>
              <c:strCache>
                <c:ptCount val="1"/>
                <c:pt idx="0">
                  <c:v>{jsdata.absenceTypes[0].name}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Details!$B$26:$Z$26</c:f>
              <c:numCache>
                <c:formatCode>mm/yyyy</c:formatCode>
                <c:ptCount val="25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  <c:pt idx="12">
                  <c:v>44986</c:v>
                </c:pt>
                <c:pt idx="13">
                  <c:v>45017</c:v>
                </c:pt>
                <c:pt idx="14">
                  <c:v>45047</c:v>
                </c:pt>
                <c:pt idx="15">
                  <c:v>45078</c:v>
                </c:pt>
                <c:pt idx="16">
                  <c:v>45108</c:v>
                </c:pt>
                <c:pt idx="17">
                  <c:v>45139</c:v>
                </c:pt>
                <c:pt idx="18">
                  <c:v>45170</c:v>
                </c:pt>
                <c:pt idx="19">
                  <c:v>45200</c:v>
                </c:pt>
                <c:pt idx="20">
                  <c:v>45231</c:v>
                </c:pt>
                <c:pt idx="21">
                  <c:v>45261</c:v>
                </c:pt>
                <c:pt idx="22">
                  <c:v>45292</c:v>
                </c:pt>
                <c:pt idx="23">
                  <c:v>45323</c:v>
                </c:pt>
                <c:pt idx="24">
                  <c:v>45352</c:v>
                </c:pt>
              </c:numCache>
            </c:numRef>
          </c:cat>
          <c:val>
            <c:numRef>
              <c:f>Details!$B$28:$Z$28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B-4A18-8668-2FD6CB60C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936832"/>
        <c:axId val="300038975"/>
      </c:lineChart>
      <c:dateAx>
        <c:axId val="1992936832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00038975"/>
        <c:crosses val="autoZero"/>
        <c:auto val="1"/>
        <c:lblOffset val="100"/>
        <c:baseTimeUnit val="months"/>
      </c:dateAx>
      <c:valAx>
        <c:axId val="30003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9293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Presence in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Details!$A$10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Details!$B$21:$AF$21</c:f>
              <c:strCache>
                <c:ptCount val="29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strCache>
            </c:strRef>
          </c:cat>
          <c:val>
            <c:numRef>
              <c:f>Details!$B$22:$AF$22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F-444D-A9F3-3A8710BB8BE7}"/>
            </c:ext>
          </c:extLst>
        </c:ser>
        <c:ser>
          <c:idx val="1"/>
          <c:order val="1"/>
          <c:tx>
            <c:strRef>
              <c:f>Details!$A$12</c:f>
              <c:strCache>
                <c:ptCount val="1"/>
                <c:pt idx="0">
                  <c:v>Absence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Details!$B$21:$AF$21</c:f>
              <c:strCache>
                <c:ptCount val="29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strCache>
            </c:strRef>
          </c:cat>
          <c:val>
            <c:numRef>
              <c:f>Details!$B$23:$AF$23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F-444D-A9F3-3A8710BB8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2924832"/>
        <c:axId val="456482351"/>
      </c:barChart>
      <c:lineChart>
        <c:grouping val="standard"/>
        <c:varyColors val="0"/>
        <c:ser>
          <c:idx val="2"/>
          <c:order val="2"/>
          <c:tx>
            <c:strRef>
              <c:f>Details!$A$11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50800">
                <a:noFill/>
              </a:ln>
              <a:effectLst/>
            </c:spPr>
          </c:marker>
          <c:cat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cat>
          <c:val>
            <c:numRef>
              <c:f>Details!$B$24:$AF$24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AF-444D-A9F3-3A8710BB8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924832"/>
        <c:axId val="456482351"/>
      </c:lineChart>
      <c:dateAx>
        <c:axId val="1992924832"/>
        <c:scaling>
          <c:orientation val="minMax"/>
        </c:scaling>
        <c:delete val="0"/>
        <c:axPos val="b"/>
        <c:numFmt formatCode="dd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56482351"/>
        <c:crosses val="autoZero"/>
        <c:auto val="1"/>
        <c:lblOffset val="100"/>
        <c:baseTimeUnit val="days"/>
      </c:dateAx>
      <c:valAx>
        <c:axId val="4564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9292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12699</xdr:colOff>
      <xdr:row>33</xdr:row>
      <xdr:rowOff>0</xdr:rowOff>
    </xdr:from>
    <xdr:to>
      <xdr:col>33</xdr:col>
      <xdr:colOff>3174</xdr:colOff>
      <xdr:row>54</xdr:row>
      <xdr:rowOff>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FF797-8113-4F6A-A9B3-F5C4905F1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17</xdr:row>
      <xdr:rowOff>6350</xdr:rowOff>
    </xdr:from>
    <xdr:to>
      <xdr:col>33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81302C-70BC-4CC6-AE54-05F8B24D4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1A3C-FE85-45A3-978A-17EC6C21FF35}">
  <sheetPr>
    <pageSetUpPr fitToPage="1"/>
  </sheetPr>
  <dimension ref="A1:AG56"/>
  <sheetViews>
    <sheetView tabSelected="1" workbookViewId="0">
      <selection activeCell="AF1" sqref="AF1"/>
    </sheetView>
  </sheetViews>
  <sheetFormatPr defaultRowHeight="14.5" x14ac:dyDescent="0.35"/>
  <cols>
    <col min="1" max="1" width="12.54296875" customWidth="1"/>
    <col min="2" max="2" width="8.7265625" customWidth="1"/>
    <col min="3" max="33" width="7.26953125" customWidth="1"/>
  </cols>
  <sheetData>
    <row r="1" spans="1:33" x14ac:dyDescent="0.35">
      <c r="A1" s="57" t="s">
        <v>9725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6" t="s">
        <v>5960</v>
      </c>
      <c r="AF1" s="7">
        <f ca="1">IFERROR(MOD(Resource!$H$7+10,12)+1,MOD(MONTH(TODAY())+10,12)+1)</f>
        <v>2</v>
      </c>
      <c r="AG1" s="7">
        <f ca="1">IFERROR(Resource!$G$7-IF(MONAT=12,1,0),YEAR(TODAY())-IF(MONAT=12,1,0))</f>
        <v>2024</v>
      </c>
    </row>
    <row r="2" spans="1:33" x14ac:dyDescent="0.3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spans="1:3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x14ac:dyDescent="0.35">
      <c r="A4" s="53" t="s">
        <v>5963</v>
      </c>
      <c r="B4" s="53"/>
      <c r="C4" s="54" t="str">
        <f>Resource!$B$3</f>
        <v>{jsdata.resource.name}</v>
      </c>
      <c r="D4" s="55"/>
      <c r="E4" s="55"/>
      <c r="F4" s="55"/>
      <c r="G4" s="56"/>
      <c r="H4" s="8"/>
      <c r="I4" s="53" t="s">
        <v>5964</v>
      </c>
      <c r="J4" s="53"/>
      <c r="K4" s="53"/>
      <c r="L4" s="58">
        <f ca="1">DATE(JAHR,MONAT,1)</f>
        <v>45323</v>
      </c>
      <c r="M4" s="58"/>
      <c r="N4" s="58"/>
      <c r="O4" s="5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x14ac:dyDescent="0.35">
      <c r="A6" s="53" t="s">
        <v>5965</v>
      </c>
      <c r="B6" s="53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x14ac:dyDescent="0.35">
      <c r="A7" s="8"/>
      <c r="B7" s="8"/>
      <c r="C7" s="9" t="s">
        <v>5959</v>
      </c>
      <c r="D7" s="9" t="s">
        <v>5959</v>
      </c>
      <c r="E7" s="9" t="s">
        <v>5959</v>
      </c>
      <c r="F7" s="9" t="s">
        <v>5959</v>
      </c>
      <c r="G7" s="9" t="s">
        <v>5959</v>
      </c>
      <c r="H7" s="9" t="s">
        <v>5959</v>
      </c>
      <c r="I7" s="9" t="s">
        <v>5959</v>
      </c>
      <c r="J7" s="9" t="s">
        <v>5959</v>
      </c>
      <c r="K7" s="9" t="s">
        <v>5959</v>
      </c>
      <c r="L7" s="9" t="s">
        <v>5959</v>
      </c>
      <c r="M7" s="9" t="s">
        <v>5959</v>
      </c>
      <c r="N7" s="9" t="s">
        <v>5959</v>
      </c>
      <c r="O7" s="9" t="s">
        <v>5959</v>
      </c>
      <c r="P7" s="9" t="s">
        <v>5959</v>
      </c>
      <c r="Q7" s="9" t="s">
        <v>5959</v>
      </c>
      <c r="R7" s="9" t="s">
        <v>5959</v>
      </c>
      <c r="S7" s="9" t="s">
        <v>5959</v>
      </c>
      <c r="T7" s="9" t="s">
        <v>5959</v>
      </c>
      <c r="U7" s="9" t="s">
        <v>5959</v>
      </c>
      <c r="V7" s="9" t="s">
        <v>5959</v>
      </c>
      <c r="W7" s="9" t="s">
        <v>5959</v>
      </c>
      <c r="X7" s="9" t="s">
        <v>5959</v>
      </c>
      <c r="Y7" s="9" t="s">
        <v>5959</v>
      </c>
      <c r="Z7" s="9" t="s">
        <v>5959</v>
      </c>
      <c r="AA7" s="9" t="s">
        <v>5959</v>
      </c>
      <c r="AB7" s="9" t="s">
        <v>5959</v>
      </c>
      <c r="AC7" s="9" t="s">
        <v>5959</v>
      </c>
      <c r="AD7" s="9" t="s">
        <v>5959</v>
      </c>
      <c r="AE7" s="9" t="s">
        <v>5959</v>
      </c>
      <c r="AF7" s="9" t="s">
        <v>5959</v>
      </c>
      <c r="AG7" s="9" t="s">
        <v>5959</v>
      </c>
    </row>
    <row r="8" spans="1:33" x14ac:dyDescent="0.35">
      <c r="A8" s="8"/>
      <c r="B8" s="10"/>
      <c r="C8" s="11">
        <f t="shared" ref="C8:L9" ca="1" si="0">DATE(JAHR,MONAT,COLUMN(C8)-COLUMN($B8))</f>
        <v>45323</v>
      </c>
      <c r="D8" s="11">
        <f t="shared" ca="1" si="0"/>
        <v>45324</v>
      </c>
      <c r="E8" s="11">
        <f t="shared" ca="1" si="0"/>
        <v>45325</v>
      </c>
      <c r="F8" s="11">
        <f t="shared" ca="1" si="0"/>
        <v>45326</v>
      </c>
      <c r="G8" s="11">
        <f t="shared" ca="1" si="0"/>
        <v>45327</v>
      </c>
      <c r="H8" s="11">
        <f t="shared" ca="1" si="0"/>
        <v>45328</v>
      </c>
      <c r="I8" s="11">
        <f t="shared" ca="1" si="0"/>
        <v>45329</v>
      </c>
      <c r="J8" s="11">
        <f t="shared" ca="1" si="0"/>
        <v>45330</v>
      </c>
      <c r="K8" s="11">
        <f t="shared" ca="1" si="0"/>
        <v>45331</v>
      </c>
      <c r="L8" s="11">
        <f t="shared" ca="1" si="0"/>
        <v>45332</v>
      </c>
      <c r="M8" s="11">
        <f t="shared" ref="M8:V9" ca="1" si="1">DATE(JAHR,MONAT,COLUMN(M8)-COLUMN($B8))</f>
        <v>45333</v>
      </c>
      <c r="N8" s="11">
        <f t="shared" ca="1" si="1"/>
        <v>45334</v>
      </c>
      <c r="O8" s="11">
        <f t="shared" ca="1" si="1"/>
        <v>45335</v>
      </c>
      <c r="P8" s="11">
        <f t="shared" ca="1" si="1"/>
        <v>45336</v>
      </c>
      <c r="Q8" s="11">
        <f t="shared" ca="1" si="1"/>
        <v>45337</v>
      </c>
      <c r="R8" s="11">
        <f t="shared" ca="1" si="1"/>
        <v>45338</v>
      </c>
      <c r="S8" s="11">
        <f t="shared" ca="1" si="1"/>
        <v>45339</v>
      </c>
      <c r="T8" s="11">
        <f t="shared" ca="1" si="1"/>
        <v>45340</v>
      </c>
      <c r="U8" s="11">
        <f t="shared" ca="1" si="1"/>
        <v>45341</v>
      </c>
      <c r="V8" s="11">
        <f t="shared" ca="1" si="1"/>
        <v>45342</v>
      </c>
      <c r="W8" s="11">
        <f t="shared" ref="W8:AD9" ca="1" si="2">DATE(JAHR,MONAT,COLUMN(W8)-COLUMN($B8))</f>
        <v>45343</v>
      </c>
      <c r="X8" s="11">
        <f t="shared" ca="1" si="2"/>
        <v>45344</v>
      </c>
      <c r="Y8" s="11">
        <f t="shared" ca="1" si="2"/>
        <v>45345</v>
      </c>
      <c r="Z8" s="11">
        <f t="shared" ca="1" si="2"/>
        <v>45346</v>
      </c>
      <c r="AA8" s="11">
        <f t="shared" ca="1" si="2"/>
        <v>45347</v>
      </c>
      <c r="AB8" s="11">
        <f t="shared" ca="1" si="2"/>
        <v>45348</v>
      </c>
      <c r="AC8" s="11">
        <f t="shared" ca="1" si="2"/>
        <v>45349</v>
      </c>
      <c r="AD8" s="11">
        <f t="shared" ca="1" si="2"/>
        <v>45350</v>
      </c>
      <c r="AE8" s="11">
        <f t="shared" ref="AE8:AG9" ca="1" si="3">IF(MONTH(DATE(JAHR,MONAT,COLUMN(AE8)-COLUMN($B8)))=MONAT,DATE(JAHR,MONAT,COLUMN(AE8)-COLUMN($B8)),"")</f>
        <v>45351</v>
      </c>
      <c r="AF8" s="11" t="str">
        <f t="shared" ca="1" si="3"/>
        <v/>
      </c>
      <c r="AG8" s="11" t="str">
        <f t="shared" ca="1" si="3"/>
        <v/>
      </c>
    </row>
    <row r="9" spans="1:33" x14ac:dyDescent="0.35">
      <c r="A9" s="8"/>
      <c r="B9" s="12" t="s">
        <v>5961</v>
      </c>
      <c r="C9" s="13">
        <f t="shared" ca="1" si="0"/>
        <v>45323</v>
      </c>
      <c r="D9" s="13">
        <f t="shared" ca="1" si="0"/>
        <v>45324</v>
      </c>
      <c r="E9" s="13">
        <f t="shared" ca="1" si="0"/>
        <v>45325</v>
      </c>
      <c r="F9" s="13">
        <f t="shared" ca="1" si="0"/>
        <v>45326</v>
      </c>
      <c r="G9" s="13">
        <f t="shared" ca="1" si="0"/>
        <v>45327</v>
      </c>
      <c r="H9" s="13">
        <f t="shared" ca="1" si="0"/>
        <v>45328</v>
      </c>
      <c r="I9" s="13">
        <f t="shared" ca="1" si="0"/>
        <v>45329</v>
      </c>
      <c r="J9" s="13">
        <f t="shared" ca="1" si="0"/>
        <v>45330</v>
      </c>
      <c r="K9" s="13">
        <f t="shared" ca="1" si="0"/>
        <v>45331</v>
      </c>
      <c r="L9" s="13">
        <f t="shared" ca="1" si="0"/>
        <v>45332</v>
      </c>
      <c r="M9" s="13">
        <f t="shared" ca="1" si="1"/>
        <v>45333</v>
      </c>
      <c r="N9" s="13">
        <f t="shared" ca="1" si="1"/>
        <v>45334</v>
      </c>
      <c r="O9" s="13">
        <f t="shared" ca="1" si="1"/>
        <v>45335</v>
      </c>
      <c r="P9" s="13">
        <f t="shared" ca="1" si="1"/>
        <v>45336</v>
      </c>
      <c r="Q9" s="13">
        <f t="shared" ca="1" si="1"/>
        <v>45337</v>
      </c>
      <c r="R9" s="13">
        <f t="shared" ca="1" si="1"/>
        <v>45338</v>
      </c>
      <c r="S9" s="13">
        <f t="shared" ca="1" si="1"/>
        <v>45339</v>
      </c>
      <c r="T9" s="13">
        <f t="shared" ca="1" si="1"/>
        <v>45340</v>
      </c>
      <c r="U9" s="13">
        <f t="shared" ca="1" si="1"/>
        <v>45341</v>
      </c>
      <c r="V9" s="13">
        <f t="shared" ca="1" si="1"/>
        <v>45342</v>
      </c>
      <c r="W9" s="13">
        <f t="shared" ca="1" si="2"/>
        <v>45343</v>
      </c>
      <c r="X9" s="13">
        <f t="shared" ca="1" si="2"/>
        <v>45344</v>
      </c>
      <c r="Y9" s="13">
        <f t="shared" ca="1" si="2"/>
        <v>45345</v>
      </c>
      <c r="Z9" s="13">
        <f t="shared" ca="1" si="2"/>
        <v>45346</v>
      </c>
      <c r="AA9" s="13">
        <f t="shared" ca="1" si="2"/>
        <v>45347</v>
      </c>
      <c r="AB9" s="13">
        <f t="shared" ca="1" si="2"/>
        <v>45348</v>
      </c>
      <c r="AC9" s="13">
        <f t="shared" ca="1" si="2"/>
        <v>45349</v>
      </c>
      <c r="AD9" s="13">
        <f t="shared" ca="1" si="2"/>
        <v>45350</v>
      </c>
      <c r="AE9" s="13">
        <f t="shared" ca="1" si="3"/>
        <v>45351</v>
      </c>
      <c r="AF9" s="13" t="str">
        <f t="shared" ca="1" si="3"/>
        <v/>
      </c>
      <c r="AG9" s="13" t="str">
        <f t="shared" ca="1" si="3"/>
        <v/>
      </c>
    </row>
    <row r="10" spans="1:33" x14ac:dyDescent="0.35">
      <c r="A10" s="14" t="s">
        <v>5966</v>
      </c>
      <c r="B10" s="15">
        <f ca="1">SUM(C10:AG10)</f>
        <v>0</v>
      </c>
      <c r="C10" s="34" t="str">
        <f t="shared" ref="C10:AG10" ca="1" si="4">IFERROR(IF(ISNUMBER(C$9),(VLOOKUP(C$9,Days,2,FALSE)+VLOOKUP(C$9,Days,3,FALSE))/86400,""),"")</f>
        <v/>
      </c>
      <c r="D10" s="34" t="str">
        <f t="shared" ca="1" si="4"/>
        <v/>
      </c>
      <c r="E10" s="34" t="str">
        <f t="shared" ca="1" si="4"/>
        <v/>
      </c>
      <c r="F10" s="34" t="str">
        <f t="shared" ca="1" si="4"/>
        <v/>
      </c>
      <c r="G10" s="34" t="str">
        <f t="shared" ca="1" si="4"/>
        <v/>
      </c>
      <c r="H10" s="34" t="str">
        <f t="shared" ca="1" si="4"/>
        <v/>
      </c>
      <c r="I10" s="34" t="str">
        <f t="shared" ca="1" si="4"/>
        <v/>
      </c>
      <c r="J10" s="34" t="str">
        <f t="shared" ca="1" si="4"/>
        <v/>
      </c>
      <c r="K10" s="34" t="str">
        <f t="shared" ca="1" si="4"/>
        <v/>
      </c>
      <c r="L10" s="34" t="str">
        <f t="shared" ca="1" si="4"/>
        <v/>
      </c>
      <c r="M10" s="34" t="str">
        <f t="shared" ca="1" si="4"/>
        <v/>
      </c>
      <c r="N10" s="34" t="str">
        <f t="shared" ca="1" si="4"/>
        <v/>
      </c>
      <c r="O10" s="34" t="str">
        <f t="shared" ca="1" si="4"/>
        <v/>
      </c>
      <c r="P10" s="34" t="str">
        <f t="shared" ca="1" si="4"/>
        <v/>
      </c>
      <c r="Q10" s="34" t="str">
        <f t="shared" ca="1" si="4"/>
        <v/>
      </c>
      <c r="R10" s="34" t="str">
        <f t="shared" ca="1" si="4"/>
        <v/>
      </c>
      <c r="S10" s="34" t="str">
        <f t="shared" ca="1" si="4"/>
        <v/>
      </c>
      <c r="T10" s="34" t="str">
        <f t="shared" ca="1" si="4"/>
        <v/>
      </c>
      <c r="U10" s="34" t="str">
        <f t="shared" ca="1" si="4"/>
        <v/>
      </c>
      <c r="V10" s="34" t="str">
        <f t="shared" ca="1" si="4"/>
        <v/>
      </c>
      <c r="W10" s="34" t="str">
        <f t="shared" ca="1" si="4"/>
        <v/>
      </c>
      <c r="X10" s="34" t="str">
        <f t="shared" ca="1" si="4"/>
        <v/>
      </c>
      <c r="Y10" s="34" t="str">
        <f t="shared" ca="1" si="4"/>
        <v/>
      </c>
      <c r="Z10" s="34" t="str">
        <f t="shared" ca="1" si="4"/>
        <v/>
      </c>
      <c r="AA10" s="34" t="str">
        <f t="shared" ca="1" si="4"/>
        <v/>
      </c>
      <c r="AB10" s="34" t="str">
        <f t="shared" ca="1" si="4"/>
        <v/>
      </c>
      <c r="AC10" s="34" t="str">
        <f t="shared" ca="1" si="4"/>
        <v/>
      </c>
      <c r="AD10" s="34" t="str">
        <f t="shared" ca="1" si="4"/>
        <v/>
      </c>
      <c r="AE10" s="34" t="str">
        <f t="shared" ca="1" si="4"/>
        <v/>
      </c>
      <c r="AF10" s="34" t="str">
        <f t="shared" ca="1" si="4"/>
        <v/>
      </c>
      <c r="AG10" s="34" t="str">
        <f t="shared" ca="1" si="4"/>
        <v/>
      </c>
    </row>
    <row r="11" spans="1:33" x14ac:dyDescent="0.35">
      <c r="A11" s="16" t="s">
        <v>5967</v>
      </c>
      <c r="B11" s="17">
        <f ca="1">SUM(C11:AG11)</f>
        <v>0</v>
      </c>
      <c r="C11" s="34" t="str">
        <f t="shared" ref="C11:AG11" ca="1" si="5">IFERROR(IF(ISNUMBER(C$9),VLOOKUP(C$9,Days,4,FALSE)/86400,""),"")</f>
        <v/>
      </c>
      <c r="D11" s="34" t="str">
        <f t="shared" ca="1" si="5"/>
        <v/>
      </c>
      <c r="E11" s="34" t="str">
        <f t="shared" ca="1" si="5"/>
        <v/>
      </c>
      <c r="F11" s="34" t="str">
        <f t="shared" ca="1" si="5"/>
        <v/>
      </c>
      <c r="G11" s="34" t="str">
        <f t="shared" ca="1" si="5"/>
        <v/>
      </c>
      <c r="H11" s="34" t="str">
        <f t="shared" ca="1" si="5"/>
        <v/>
      </c>
      <c r="I11" s="34" t="str">
        <f t="shared" ca="1" si="5"/>
        <v/>
      </c>
      <c r="J11" s="34" t="str">
        <f t="shared" ca="1" si="5"/>
        <v/>
      </c>
      <c r="K11" s="34" t="str">
        <f t="shared" ca="1" si="5"/>
        <v/>
      </c>
      <c r="L11" s="34" t="str">
        <f t="shared" ca="1" si="5"/>
        <v/>
      </c>
      <c r="M11" s="34" t="str">
        <f t="shared" ca="1" si="5"/>
        <v/>
      </c>
      <c r="N11" s="34" t="str">
        <f t="shared" ca="1" si="5"/>
        <v/>
      </c>
      <c r="O11" s="34" t="str">
        <f t="shared" ca="1" si="5"/>
        <v/>
      </c>
      <c r="P11" s="34" t="str">
        <f t="shared" ca="1" si="5"/>
        <v/>
      </c>
      <c r="Q11" s="34" t="str">
        <f t="shared" ca="1" si="5"/>
        <v/>
      </c>
      <c r="R11" s="34" t="str">
        <f t="shared" ca="1" si="5"/>
        <v/>
      </c>
      <c r="S11" s="34" t="str">
        <f t="shared" ca="1" si="5"/>
        <v/>
      </c>
      <c r="T11" s="34" t="str">
        <f t="shared" ca="1" si="5"/>
        <v/>
      </c>
      <c r="U11" s="34" t="str">
        <f t="shared" ca="1" si="5"/>
        <v/>
      </c>
      <c r="V11" s="34" t="str">
        <f t="shared" ca="1" si="5"/>
        <v/>
      </c>
      <c r="W11" s="34" t="str">
        <f t="shared" ca="1" si="5"/>
        <v/>
      </c>
      <c r="X11" s="34" t="str">
        <f t="shared" ca="1" si="5"/>
        <v/>
      </c>
      <c r="Y11" s="34" t="str">
        <f t="shared" ca="1" si="5"/>
        <v/>
      </c>
      <c r="Z11" s="34" t="str">
        <f t="shared" ca="1" si="5"/>
        <v/>
      </c>
      <c r="AA11" s="34" t="str">
        <f t="shared" ca="1" si="5"/>
        <v/>
      </c>
      <c r="AB11" s="34" t="str">
        <f t="shared" ca="1" si="5"/>
        <v/>
      </c>
      <c r="AC11" s="34" t="str">
        <f t="shared" ca="1" si="5"/>
        <v/>
      </c>
      <c r="AD11" s="34" t="str">
        <f t="shared" ca="1" si="5"/>
        <v/>
      </c>
      <c r="AE11" s="34" t="str">
        <f t="shared" ca="1" si="5"/>
        <v/>
      </c>
      <c r="AF11" s="34" t="str">
        <f t="shared" ca="1" si="5"/>
        <v/>
      </c>
      <c r="AG11" s="34" t="str">
        <f t="shared" ca="1" si="5"/>
        <v/>
      </c>
    </row>
    <row r="12" spans="1:33" x14ac:dyDescent="0.35">
      <c r="A12" s="49" t="s">
        <v>5968</v>
      </c>
      <c r="B12" s="50">
        <f ca="1">SUM(C12:AG12)</f>
        <v>0</v>
      </c>
      <c r="C12" s="34" t="str">
        <f t="shared" ref="C12:AG12" ca="1" si="6">IFERROR(IF(ISNUMBER(C$9),VLOOKUP(C$9,Days,3,FALSE)/86400,""),"")</f>
        <v/>
      </c>
      <c r="D12" s="34" t="str">
        <f t="shared" ca="1" si="6"/>
        <v/>
      </c>
      <c r="E12" s="34" t="str">
        <f t="shared" ca="1" si="6"/>
        <v/>
      </c>
      <c r="F12" s="34" t="str">
        <f t="shared" ca="1" si="6"/>
        <v/>
      </c>
      <c r="G12" s="34" t="str">
        <f t="shared" ca="1" si="6"/>
        <v/>
      </c>
      <c r="H12" s="34" t="str">
        <f t="shared" ca="1" si="6"/>
        <v/>
      </c>
      <c r="I12" s="34" t="str">
        <f t="shared" ca="1" si="6"/>
        <v/>
      </c>
      <c r="J12" s="34" t="str">
        <f t="shared" ca="1" si="6"/>
        <v/>
      </c>
      <c r="K12" s="34" t="str">
        <f t="shared" ca="1" si="6"/>
        <v/>
      </c>
      <c r="L12" s="34" t="str">
        <f t="shared" ca="1" si="6"/>
        <v/>
      </c>
      <c r="M12" s="34" t="str">
        <f t="shared" ca="1" si="6"/>
        <v/>
      </c>
      <c r="N12" s="34" t="str">
        <f t="shared" ca="1" si="6"/>
        <v/>
      </c>
      <c r="O12" s="34" t="str">
        <f t="shared" ca="1" si="6"/>
        <v/>
      </c>
      <c r="P12" s="34" t="str">
        <f t="shared" ca="1" si="6"/>
        <v/>
      </c>
      <c r="Q12" s="34" t="str">
        <f t="shared" ca="1" si="6"/>
        <v/>
      </c>
      <c r="R12" s="34" t="str">
        <f t="shared" ca="1" si="6"/>
        <v/>
      </c>
      <c r="S12" s="34" t="str">
        <f t="shared" ca="1" si="6"/>
        <v/>
      </c>
      <c r="T12" s="34" t="str">
        <f t="shared" ca="1" si="6"/>
        <v/>
      </c>
      <c r="U12" s="34" t="str">
        <f t="shared" ca="1" si="6"/>
        <v/>
      </c>
      <c r="V12" s="34" t="str">
        <f t="shared" ca="1" si="6"/>
        <v/>
      </c>
      <c r="W12" s="34" t="str">
        <f t="shared" ca="1" si="6"/>
        <v/>
      </c>
      <c r="X12" s="34" t="str">
        <f t="shared" ca="1" si="6"/>
        <v/>
      </c>
      <c r="Y12" s="34" t="str">
        <f t="shared" ca="1" si="6"/>
        <v/>
      </c>
      <c r="Z12" s="34" t="str">
        <f t="shared" ca="1" si="6"/>
        <v/>
      </c>
      <c r="AA12" s="34" t="str">
        <f t="shared" ca="1" si="6"/>
        <v/>
      </c>
      <c r="AB12" s="34" t="str">
        <f t="shared" ca="1" si="6"/>
        <v/>
      </c>
      <c r="AC12" s="34" t="str">
        <f t="shared" ca="1" si="6"/>
        <v/>
      </c>
      <c r="AD12" s="34" t="str">
        <f t="shared" ca="1" si="6"/>
        <v/>
      </c>
      <c r="AE12" s="34" t="str">
        <f t="shared" ca="1" si="6"/>
        <v/>
      </c>
      <c r="AF12" s="34" t="str">
        <f t="shared" ca="1" si="6"/>
        <v/>
      </c>
      <c r="AG12" s="34" t="str">
        <f t="shared" ca="1" si="6"/>
        <v/>
      </c>
    </row>
    <row r="13" spans="1:33" x14ac:dyDescent="0.35">
      <c r="A13" s="49"/>
      <c r="B13" s="51"/>
      <c r="C13" s="34" t="str">
        <f t="shared" ref="C13:AG13" ca="1" si="7">IFERROR(IF(ISNUMBER(C$9),IF(VLOOKUP(VLOOKUP(C$9,Days,5,FALSE),AbsenceTypes,3,FALSE)="",LEFT(VLOOKUP(VLOOKUP(C$9,Days,5,FALSE),AbsenceTypes,2,FALSE),3),VLOOKUP(VLOOKUP(C$9,Days,5,FALSE),AbsenceTypes,3,FALSE)),""),"")</f>
        <v/>
      </c>
      <c r="D13" s="34" t="str">
        <f t="shared" ca="1" si="7"/>
        <v/>
      </c>
      <c r="E13" s="34" t="str">
        <f t="shared" ca="1" si="7"/>
        <v/>
      </c>
      <c r="F13" s="34" t="str">
        <f t="shared" ca="1" si="7"/>
        <v/>
      </c>
      <c r="G13" s="34" t="str">
        <f t="shared" ca="1" si="7"/>
        <v/>
      </c>
      <c r="H13" s="34" t="str">
        <f t="shared" ca="1" si="7"/>
        <v/>
      </c>
      <c r="I13" s="34" t="str">
        <f t="shared" ca="1" si="7"/>
        <v/>
      </c>
      <c r="J13" s="34" t="str">
        <f t="shared" ca="1" si="7"/>
        <v/>
      </c>
      <c r="K13" s="34" t="str">
        <f t="shared" ca="1" si="7"/>
        <v/>
      </c>
      <c r="L13" s="34" t="str">
        <f t="shared" ca="1" si="7"/>
        <v/>
      </c>
      <c r="M13" s="34" t="str">
        <f t="shared" ca="1" si="7"/>
        <v/>
      </c>
      <c r="N13" s="34" t="str">
        <f t="shared" ca="1" si="7"/>
        <v/>
      </c>
      <c r="O13" s="34" t="str">
        <f t="shared" ca="1" si="7"/>
        <v/>
      </c>
      <c r="P13" s="34" t="str">
        <f t="shared" ca="1" si="7"/>
        <v/>
      </c>
      <c r="Q13" s="34" t="str">
        <f t="shared" ca="1" si="7"/>
        <v/>
      </c>
      <c r="R13" s="34" t="str">
        <f t="shared" ca="1" si="7"/>
        <v/>
      </c>
      <c r="S13" s="34" t="str">
        <f t="shared" ca="1" si="7"/>
        <v/>
      </c>
      <c r="T13" s="34" t="str">
        <f t="shared" ca="1" si="7"/>
        <v/>
      </c>
      <c r="U13" s="34" t="str">
        <f t="shared" ca="1" si="7"/>
        <v/>
      </c>
      <c r="V13" s="34" t="str">
        <f t="shared" ca="1" si="7"/>
        <v/>
      </c>
      <c r="W13" s="34" t="str">
        <f t="shared" ca="1" si="7"/>
        <v/>
      </c>
      <c r="X13" s="34" t="str">
        <f t="shared" ca="1" si="7"/>
        <v/>
      </c>
      <c r="Y13" s="34" t="str">
        <f t="shared" ca="1" si="7"/>
        <v/>
      </c>
      <c r="Z13" s="34" t="str">
        <f t="shared" ca="1" si="7"/>
        <v/>
      </c>
      <c r="AA13" s="34" t="str">
        <f t="shared" ca="1" si="7"/>
        <v/>
      </c>
      <c r="AB13" s="34" t="str">
        <f t="shared" ca="1" si="7"/>
        <v/>
      </c>
      <c r="AC13" s="34" t="str">
        <f t="shared" ca="1" si="7"/>
        <v/>
      </c>
      <c r="AD13" s="34" t="str">
        <f t="shared" ca="1" si="7"/>
        <v/>
      </c>
      <c r="AE13" s="34" t="str">
        <f t="shared" ca="1" si="7"/>
        <v/>
      </c>
      <c r="AF13" s="34" t="str">
        <f t="shared" ca="1" si="7"/>
        <v/>
      </c>
      <c r="AG13" s="34" t="str">
        <f t="shared" ca="1" si="7"/>
        <v/>
      </c>
    </row>
    <row r="14" spans="1:33" x14ac:dyDescent="0.35">
      <c r="A14" s="49"/>
      <c r="B14" s="52"/>
      <c r="C14" s="10" t="str">
        <f t="shared" ref="C14:AG14" ca="1" si="8">IFERROR(IF(ISNUMBER(C$9),IF(VLOOKUP(VLOOKUP(C$9,Days,6,FALSE),AbsenceTypes,3,FALSE)="",LEFT(VLOOKUP(VLOOKUP(C$9,Days,6,FALSE),AbsenceTypes,2,FALSE),3),VLOOKUP(VLOOKUP(C$9,Days,6,FALSE),AbsenceTypes,3,FALSE)),""),"")</f>
        <v/>
      </c>
      <c r="D14" s="10" t="str">
        <f t="shared" ca="1" si="8"/>
        <v/>
      </c>
      <c r="E14" s="10" t="str">
        <f t="shared" ca="1" si="8"/>
        <v/>
      </c>
      <c r="F14" s="10" t="str">
        <f t="shared" ca="1" si="8"/>
        <v/>
      </c>
      <c r="G14" s="10" t="str">
        <f t="shared" ca="1" si="8"/>
        <v/>
      </c>
      <c r="H14" s="10" t="str">
        <f t="shared" ca="1" si="8"/>
        <v/>
      </c>
      <c r="I14" s="10" t="str">
        <f t="shared" ca="1" si="8"/>
        <v/>
      </c>
      <c r="J14" s="10" t="str">
        <f t="shared" ca="1" si="8"/>
        <v/>
      </c>
      <c r="K14" s="10" t="str">
        <f t="shared" ca="1" si="8"/>
        <v/>
      </c>
      <c r="L14" s="10" t="str">
        <f t="shared" ca="1" si="8"/>
        <v/>
      </c>
      <c r="M14" s="10" t="str">
        <f t="shared" ca="1" si="8"/>
        <v/>
      </c>
      <c r="N14" s="10" t="str">
        <f t="shared" ca="1" si="8"/>
        <v/>
      </c>
      <c r="O14" s="10" t="str">
        <f t="shared" ca="1" si="8"/>
        <v/>
      </c>
      <c r="P14" s="10" t="str">
        <f t="shared" ca="1" si="8"/>
        <v/>
      </c>
      <c r="Q14" s="10" t="str">
        <f t="shared" ca="1" si="8"/>
        <v/>
      </c>
      <c r="R14" s="10" t="str">
        <f t="shared" ca="1" si="8"/>
        <v/>
      </c>
      <c r="S14" s="10" t="str">
        <f t="shared" ca="1" si="8"/>
        <v/>
      </c>
      <c r="T14" s="10" t="str">
        <f t="shared" ca="1" si="8"/>
        <v/>
      </c>
      <c r="U14" s="10" t="str">
        <f t="shared" ca="1" si="8"/>
        <v/>
      </c>
      <c r="V14" s="10" t="str">
        <f t="shared" ca="1" si="8"/>
        <v/>
      </c>
      <c r="W14" s="10" t="str">
        <f t="shared" ca="1" si="8"/>
        <v/>
      </c>
      <c r="X14" s="10" t="str">
        <f t="shared" ca="1" si="8"/>
        <v/>
      </c>
      <c r="Y14" s="10" t="str">
        <f t="shared" ca="1" si="8"/>
        <v/>
      </c>
      <c r="Z14" s="10" t="str">
        <f t="shared" ca="1" si="8"/>
        <v/>
      </c>
      <c r="AA14" s="10" t="str">
        <f t="shared" ca="1" si="8"/>
        <v/>
      </c>
      <c r="AB14" s="10" t="str">
        <f t="shared" ca="1" si="8"/>
        <v/>
      </c>
      <c r="AC14" s="10" t="str">
        <f t="shared" ca="1" si="8"/>
        <v/>
      </c>
      <c r="AD14" s="10" t="str">
        <f t="shared" ca="1" si="8"/>
        <v/>
      </c>
      <c r="AE14" s="10" t="str">
        <f t="shared" ca="1" si="8"/>
        <v/>
      </c>
      <c r="AF14" s="10" t="str">
        <f t="shared" ca="1" si="8"/>
        <v/>
      </c>
      <c r="AG14" s="10" t="str">
        <f t="shared" ca="1" si="8"/>
        <v/>
      </c>
    </row>
    <row r="15" spans="1:33" x14ac:dyDescent="0.35">
      <c r="A15" s="18" t="s">
        <v>5969</v>
      </c>
      <c r="B15" s="17" t="str">
        <f ca="1">IF(SIGN(B11+B12-B10)=-1,"-","")&amp;TEXT(ABS(B11+B12-B10),"[hh]:mm;;")</f>
        <v/>
      </c>
      <c r="C15" s="36" t="str">
        <f ca="1">IF(IF(ISNUMBER(C$11),C$11,0)-IF(ISNUMBER(C$10),C$10,0)+IF(ISNUMBER(C$12),C$12,0)=0,"",IF(IF(ISNUMBER(C$11),C$11,0)-IF(ISNUMBER(C$10),C$10,0)+IF(ISNUMBER(C$12),C$12,0)&gt;=0,TEXT(IF(ISNUMBER(C$11),C$11,0)-IF(ISNUMBER(C$10),C$10,0)+IF(ISNUMBER(C$12),C$12,0),"[hh]:mm"),TEXT(IF(ISNUMBER(C$10),C$10,0)-IF(ISNUMBER(C$11),C$11,0)-IF(ISNUMBER(C$12),C$12,0),"-[hh]:mm")))</f>
        <v/>
      </c>
      <c r="D15" s="36" t="str">
        <f t="shared" ref="D15:AG15" ca="1" si="9">IF(IF(ISNUMBER(D$11),D$11,0)-IF(ISNUMBER(D$10),D$10,0)+IF(ISNUMBER(D$12),D$12,0)=0,"",IF(IF(ISNUMBER(D$11),D$11,0)-IF(ISNUMBER(D$10),D$10,0)+IF(ISNUMBER(D$12),D$12,0)&gt;=0,TEXT(IF(ISNUMBER(D$11),D$11,0)-IF(ISNUMBER(D$10),D$10,0)+IF(ISNUMBER(D$12),D$12,0),"[hh]:mm"),TEXT(IF(ISNUMBER(D$10),D$10,0)-IF(ISNUMBER(D$11),D$11,0)-IF(ISNUMBER(D$12),D$12,0),"-[hh]:mm")))</f>
        <v/>
      </c>
      <c r="E15" s="36" t="str">
        <f t="shared" ca="1" si="9"/>
        <v/>
      </c>
      <c r="F15" s="36" t="str">
        <f t="shared" ca="1" si="9"/>
        <v/>
      </c>
      <c r="G15" s="36" t="str">
        <f t="shared" ca="1" si="9"/>
        <v/>
      </c>
      <c r="H15" s="36" t="str">
        <f t="shared" ca="1" si="9"/>
        <v/>
      </c>
      <c r="I15" s="36" t="str">
        <f t="shared" ca="1" si="9"/>
        <v/>
      </c>
      <c r="J15" s="36" t="str">
        <f t="shared" ca="1" si="9"/>
        <v/>
      </c>
      <c r="K15" s="36" t="str">
        <f t="shared" ca="1" si="9"/>
        <v/>
      </c>
      <c r="L15" s="36" t="str">
        <f t="shared" ca="1" si="9"/>
        <v/>
      </c>
      <c r="M15" s="36" t="str">
        <f t="shared" ca="1" si="9"/>
        <v/>
      </c>
      <c r="N15" s="36" t="str">
        <f t="shared" ca="1" si="9"/>
        <v/>
      </c>
      <c r="O15" s="36" t="str">
        <f t="shared" ca="1" si="9"/>
        <v/>
      </c>
      <c r="P15" s="36" t="str">
        <f t="shared" ca="1" si="9"/>
        <v/>
      </c>
      <c r="Q15" s="36" t="str">
        <f t="shared" ca="1" si="9"/>
        <v/>
      </c>
      <c r="R15" s="36" t="str">
        <f t="shared" ca="1" si="9"/>
        <v/>
      </c>
      <c r="S15" s="36" t="str">
        <f t="shared" ca="1" si="9"/>
        <v/>
      </c>
      <c r="T15" s="36" t="str">
        <f t="shared" ca="1" si="9"/>
        <v/>
      </c>
      <c r="U15" s="36" t="str">
        <f t="shared" ca="1" si="9"/>
        <v/>
      </c>
      <c r="V15" s="36" t="str">
        <f t="shared" ca="1" si="9"/>
        <v/>
      </c>
      <c r="W15" s="36" t="str">
        <f t="shared" ca="1" si="9"/>
        <v/>
      </c>
      <c r="X15" s="36" t="str">
        <f t="shared" ca="1" si="9"/>
        <v/>
      </c>
      <c r="Y15" s="36" t="str">
        <f t="shared" ca="1" si="9"/>
        <v/>
      </c>
      <c r="Z15" s="36" t="str">
        <f t="shared" ca="1" si="9"/>
        <v/>
      </c>
      <c r="AA15" s="36" t="str">
        <f t="shared" ca="1" si="9"/>
        <v/>
      </c>
      <c r="AB15" s="36" t="str">
        <f t="shared" ca="1" si="9"/>
        <v/>
      </c>
      <c r="AC15" s="36" t="str">
        <f t="shared" ca="1" si="9"/>
        <v/>
      </c>
      <c r="AD15" s="36" t="str">
        <f t="shared" ca="1" si="9"/>
        <v/>
      </c>
      <c r="AE15" s="36" t="str">
        <f t="shared" ca="1" si="9"/>
        <v/>
      </c>
      <c r="AF15" s="36" t="str">
        <f t="shared" ca="1" si="9"/>
        <v/>
      </c>
      <c r="AG15" s="36" t="str">
        <f t="shared" ca="1" si="9"/>
        <v/>
      </c>
    </row>
    <row r="16" spans="1:33" ht="145.5" customHeight="1" x14ac:dyDescent="0.35">
      <c r="A16" s="35" t="s">
        <v>5958</v>
      </c>
      <c r="B16" s="38"/>
      <c r="C16" s="37" t="str">
        <f t="shared" ref="C16:AG16" ca="1" si="10">IFERROR(IF(ISNUMBER(C$9),VLOOKUP(TEXT(C$9,"jjjj-MM-tt"),Clocking,2,FALSE),""),"")</f>
        <v/>
      </c>
      <c r="D16" s="37" t="str">
        <f t="shared" ca="1" si="10"/>
        <v/>
      </c>
      <c r="E16" s="37" t="str">
        <f t="shared" ca="1" si="10"/>
        <v/>
      </c>
      <c r="F16" s="37" t="str">
        <f t="shared" ca="1" si="10"/>
        <v/>
      </c>
      <c r="G16" s="37" t="str">
        <f t="shared" ca="1" si="10"/>
        <v/>
      </c>
      <c r="H16" s="37" t="str">
        <f t="shared" ca="1" si="10"/>
        <v/>
      </c>
      <c r="I16" s="37" t="str">
        <f t="shared" ca="1" si="10"/>
        <v/>
      </c>
      <c r="J16" s="37" t="str">
        <f t="shared" ca="1" si="10"/>
        <v/>
      </c>
      <c r="K16" s="37" t="str">
        <f t="shared" ca="1" si="10"/>
        <v/>
      </c>
      <c r="L16" s="37" t="str">
        <f t="shared" ca="1" si="10"/>
        <v/>
      </c>
      <c r="M16" s="37" t="str">
        <f t="shared" ca="1" si="10"/>
        <v/>
      </c>
      <c r="N16" s="37" t="str">
        <f t="shared" ca="1" si="10"/>
        <v/>
      </c>
      <c r="O16" s="37" t="str">
        <f t="shared" ca="1" si="10"/>
        <v/>
      </c>
      <c r="P16" s="37" t="str">
        <f t="shared" ca="1" si="10"/>
        <v/>
      </c>
      <c r="Q16" s="37" t="str">
        <f t="shared" ca="1" si="10"/>
        <v/>
      </c>
      <c r="R16" s="37" t="str">
        <f t="shared" ca="1" si="10"/>
        <v/>
      </c>
      <c r="S16" s="37" t="str">
        <f t="shared" ca="1" si="10"/>
        <v/>
      </c>
      <c r="T16" s="37" t="str">
        <f t="shared" ca="1" si="10"/>
        <v/>
      </c>
      <c r="U16" s="37" t="str">
        <f t="shared" ca="1" si="10"/>
        <v/>
      </c>
      <c r="V16" s="37" t="str">
        <f t="shared" ca="1" si="10"/>
        <v/>
      </c>
      <c r="W16" s="37" t="str">
        <f t="shared" ca="1" si="10"/>
        <v/>
      </c>
      <c r="X16" s="37" t="str">
        <f t="shared" ca="1" si="10"/>
        <v/>
      </c>
      <c r="Y16" s="37" t="str">
        <f t="shared" ca="1" si="10"/>
        <v/>
      </c>
      <c r="Z16" s="37" t="str">
        <f t="shared" ca="1" si="10"/>
        <v/>
      </c>
      <c r="AA16" s="37" t="str">
        <f t="shared" ca="1" si="10"/>
        <v/>
      </c>
      <c r="AB16" s="37" t="str">
        <f t="shared" ca="1" si="10"/>
        <v/>
      </c>
      <c r="AC16" s="37" t="str">
        <f t="shared" ca="1" si="10"/>
        <v/>
      </c>
      <c r="AD16" s="37" t="str">
        <f t="shared" ca="1" si="10"/>
        <v/>
      </c>
      <c r="AE16" s="37" t="str">
        <f t="shared" ca="1" si="10"/>
        <v/>
      </c>
      <c r="AF16" s="37" t="str">
        <f t="shared" ca="1" si="10"/>
        <v/>
      </c>
      <c r="AG16" s="37" t="str">
        <f t="shared" ca="1" si="10"/>
        <v/>
      </c>
    </row>
    <row r="17" spans="1:33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35">
      <c r="A21" s="8"/>
      <c r="B21" s="19">
        <f ca="1">IF(ISNUMBER(C9),DAY(C9),"")</f>
        <v>1</v>
      </c>
      <c r="C21" s="19">
        <f t="shared" ref="C21:AF21" ca="1" si="11">IF(ISNUMBER(D9),DAY(D9),"")</f>
        <v>2</v>
      </c>
      <c r="D21" s="19">
        <f t="shared" ca="1" si="11"/>
        <v>3</v>
      </c>
      <c r="E21" s="19">
        <f t="shared" ca="1" si="11"/>
        <v>4</v>
      </c>
      <c r="F21" s="19">
        <f t="shared" ca="1" si="11"/>
        <v>5</v>
      </c>
      <c r="G21" s="19">
        <f t="shared" ca="1" si="11"/>
        <v>6</v>
      </c>
      <c r="H21" s="19">
        <f t="shared" ca="1" si="11"/>
        <v>7</v>
      </c>
      <c r="I21" s="19">
        <f t="shared" ca="1" si="11"/>
        <v>8</v>
      </c>
      <c r="J21" s="19">
        <f t="shared" ca="1" si="11"/>
        <v>9</v>
      </c>
      <c r="K21" s="19">
        <f t="shared" ca="1" si="11"/>
        <v>10</v>
      </c>
      <c r="L21" s="19">
        <f t="shared" ca="1" si="11"/>
        <v>11</v>
      </c>
      <c r="M21" s="19">
        <f t="shared" ca="1" si="11"/>
        <v>12</v>
      </c>
      <c r="N21" s="19">
        <f t="shared" ca="1" si="11"/>
        <v>13</v>
      </c>
      <c r="O21" s="19">
        <f t="shared" ca="1" si="11"/>
        <v>14</v>
      </c>
      <c r="P21" s="19">
        <f t="shared" ca="1" si="11"/>
        <v>15</v>
      </c>
      <c r="Q21" s="19">
        <f t="shared" ca="1" si="11"/>
        <v>16</v>
      </c>
      <c r="R21" s="19">
        <f t="shared" ca="1" si="11"/>
        <v>17</v>
      </c>
      <c r="S21" s="19">
        <f t="shared" ca="1" si="11"/>
        <v>18</v>
      </c>
      <c r="T21" s="19">
        <f t="shared" ca="1" si="11"/>
        <v>19</v>
      </c>
      <c r="U21" s="19">
        <f t="shared" ca="1" si="11"/>
        <v>20</v>
      </c>
      <c r="V21" s="19">
        <f t="shared" ca="1" si="11"/>
        <v>21</v>
      </c>
      <c r="W21" s="19">
        <f t="shared" ca="1" si="11"/>
        <v>22</v>
      </c>
      <c r="X21" s="19">
        <f t="shared" ca="1" si="11"/>
        <v>23</v>
      </c>
      <c r="Y21" s="19">
        <f t="shared" ca="1" si="11"/>
        <v>24</v>
      </c>
      <c r="Z21" s="19">
        <f t="shared" ca="1" si="11"/>
        <v>25</v>
      </c>
      <c r="AA21" s="19">
        <f t="shared" ca="1" si="11"/>
        <v>26</v>
      </c>
      <c r="AB21" s="19">
        <f t="shared" ca="1" si="11"/>
        <v>27</v>
      </c>
      <c r="AC21" s="19">
        <f t="shared" ca="1" si="11"/>
        <v>28</v>
      </c>
      <c r="AD21" s="19">
        <f t="shared" ca="1" si="11"/>
        <v>29</v>
      </c>
      <c r="AE21" s="19" t="str">
        <f t="shared" ca="1" si="11"/>
        <v/>
      </c>
      <c r="AF21" s="19" t="str">
        <f t="shared" ca="1" si="11"/>
        <v/>
      </c>
      <c r="AG21" s="8"/>
    </row>
    <row r="22" spans="1:33" x14ac:dyDescent="0.35">
      <c r="A22" s="8"/>
      <c r="B22" s="20">
        <f ca="1">IF(ISNUMBER(C10),C10*24,0)-B23</f>
        <v>0</v>
      </c>
      <c r="C22" s="20">
        <f t="shared" ref="C22:AF22" ca="1" si="12">IF(ISNUMBER(D10),D10*24,0)-C23</f>
        <v>0</v>
      </c>
      <c r="D22" s="20">
        <f t="shared" ca="1" si="12"/>
        <v>0</v>
      </c>
      <c r="E22" s="20">
        <f t="shared" ca="1" si="12"/>
        <v>0</v>
      </c>
      <c r="F22" s="20">
        <f t="shared" ca="1" si="12"/>
        <v>0</v>
      </c>
      <c r="G22" s="20">
        <f t="shared" ca="1" si="12"/>
        <v>0</v>
      </c>
      <c r="H22" s="20">
        <f t="shared" ca="1" si="12"/>
        <v>0</v>
      </c>
      <c r="I22" s="20">
        <f t="shared" ca="1" si="12"/>
        <v>0</v>
      </c>
      <c r="J22" s="20">
        <f t="shared" ca="1" si="12"/>
        <v>0</v>
      </c>
      <c r="K22" s="20">
        <f t="shared" ca="1" si="12"/>
        <v>0</v>
      </c>
      <c r="L22" s="20">
        <f t="shared" ca="1" si="12"/>
        <v>0</v>
      </c>
      <c r="M22" s="20">
        <f t="shared" ca="1" si="12"/>
        <v>0</v>
      </c>
      <c r="N22" s="20">
        <f t="shared" ca="1" si="12"/>
        <v>0</v>
      </c>
      <c r="O22" s="20">
        <f t="shared" ca="1" si="12"/>
        <v>0</v>
      </c>
      <c r="P22" s="20">
        <f t="shared" ca="1" si="12"/>
        <v>0</v>
      </c>
      <c r="Q22" s="20">
        <f t="shared" ca="1" si="12"/>
        <v>0</v>
      </c>
      <c r="R22" s="20">
        <f t="shared" ca="1" si="12"/>
        <v>0</v>
      </c>
      <c r="S22" s="20">
        <f t="shared" ca="1" si="12"/>
        <v>0</v>
      </c>
      <c r="T22" s="20">
        <f t="shared" ca="1" si="12"/>
        <v>0</v>
      </c>
      <c r="U22" s="20">
        <f t="shared" ca="1" si="12"/>
        <v>0</v>
      </c>
      <c r="V22" s="20">
        <f t="shared" ca="1" si="12"/>
        <v>0</v>
      </c>
      <c r="W22" s="20">
        <f t="shared" ca="1" si="12"/>
        <v>0</v>
      </c>
      <c r="X22" s="20">
        <f t="shared" ca="1" si="12"/>
        <v>0</v>
      </c>
      <c r="Y22" s="20">
        <f t="shared" ca="1" si="12"/>
        <v>0</v>
      </c>
      <c r="Z22" s="20">
        <f t="shared" ca="1" si="12"/>
        <v>0</v>
      </c>
      <c r="AA22" s="20">
        <f t="shared" ca="1" si="12"/>
        <v>0</v>
      </c>
      <c r="AB22" s="20">
        <f t="shared" ca="1" si="12"/>
        <v>0</v>
      </c>
      <c r="AC22" s="20">
        <f t="shared" ca="1" si="12"/>
        <v>0</v>
      </c>
      <c r="AD22" s="20">
        <f t="shared" ca="1" si="12"/>
        <v>0</v>
      </c>
      <c r="AE22" s="20">
        <f t="shared" ca="1" si="12"/>
        <v>0</v>
      </c>
      <c r="AF22" s="20">
        <f t="shared" ca="1" si="12"/>
        <v>0</v>
      </c>
      <c r="AG22" s="8"/>
    </row>
    <row r="23" spans="1:33" x14ac:dyDescent="0.35">
      <c r="A23" s="8"/>
      <c r="B23" s="20">
        <f t="shared" ref="B23:AF23" ca="1" si="13">IF(ISNUMBER(C12),C12*24,0)</f>
        <v>0</v>
      </c>
      <c r="C23" s="20">
        <f t="shared" ca="1" si="13"/>
        <v>0</v>
      </c>
      <c r="D23" s="20">
        <f t="shared" ca="1" si="13"/>
        <v>0</v>
      </c>
      <c r="E23" s="20">
        <f t="shared" ca="1" si="13"/>
        <v>0</v>
      </c>
      <c r="F23" s="20">
        <f t="shared" ca="1" si="13"/>
        <v>0</v>
      </c>
      <c r="G23" s="20">
        <f t="shared" ca="1" si="13"/>
        <v>0</v>
      </c>
      <c r="H23" s="20">
        <f t="shared" ca="1" si="13"/>
        <v>0</v>
      </c>
      <c r="I23" s="20">
        <f t="shared" ca="1" si="13"/>
        <v>0</v>
      </c>
      <c r="J23" s="20">
        <f t="shared" ca="1" si="13"/>
        <v>0</v>
      </c>
      <c r="K23" s="20">
        <f t="shared" ca="1" si="13"/>
        <v>0</v>
      </c>
      <c r="L23" s="20">
        <f t="shared" ca="1" si="13"/>
        <v>0</v>
      </c>
      <c r="M23" s="20">
        <f t="shared" ca="1" si="13"/>
        <v>0</v>
      </c>
      <c r="N23" s="20">
        <f t="shared" ca="1" si="13"/>
        <v>0</v>
      </c>
      <c r="O23" s="20">
        <f t="shared" ca="1" si="13"/>
        <v>0</v>
      </c>
      <c r="P23" s="20">
        <f t="shared" ca="1" si="13"/>
        <v>0</v>
      </c>
      <c r="Q23" s="20">
        <f t="shared" ca="1" si="13"/>
        <v>0</v>
      </c>
      <c r="R23" s="20">
        <f t="shared" ca="1" si="13"/>
        <v>0</v>
      </c>
      <c r="S23" s="20">
        <f t="shared" ca="1" si="13"/>
        <v>0</v>
      </c>
      <c r="T23" s="20">
        <f t="shared" ca="1" si="13"/>
        <v>0</v>
      </c>
      <c r="U23" s="20">
        <f t="shared" ca="1" si="13"/>
        <v>0</v>
      </c>
      <c r="V23" s="20">
        <f t="shared" ca="1" si="13"/>
        <v>0</v>
      </c>
      <c r="W23" s="20">
        <f t="shared" ca="1" si="13"/>
        <v>0</v>
      </c>
      <c r="X23" s="20">
        <f t="shared" ca="1" si="13"/>
        <v>0</v>
      </c>
      <c r="Y23" s="20">
        <f t="shared" ca="1" si="13"/>
        <v>0</v>
      </c>
      <c r="Z23" s="20">
        <f t="shared" ca="1" si="13"/>
        <v>0</v>
      </c>
      <c r="AA23" s="20">
        <f t="shared" ca="1" si="13"/>
        <v>0</v>
      </c>
      <c r="AB23" s="20">
        <f t="shared" ca="1" si="13"/>
        <v>0</v>
      </c>
      <c r="AC23" s="20">
        <f t="shared" ca="1" si="13"/>
        <v>0</v>
      </c>
      <c r="AD23" s="20">
        <f t="shared" ca="1" si="13"/>
        <v>0</v>
      </c>
      <c r="AE23" s="20">
        <f t="shared" ca="1" si="13"/>
        <v>0</v>
      </c>
      <c r="AF23" s="20">
        <f t="shared" ca="1" si="13"/>
        <v>0</v>
      </c>
      <c r="AG23" s="8"/>
    </row>
    <row r="24" spans="1:33" x14ac:dyDescent="0.35">
      <c r="A24" s="8"/>
      <c r="B24" s="20">
        <f t="shared" ref="B24:AF24" ca="1" si="14">IF(ISNUMBER(C11),C11*24,0)</f>
        <v>0</v>
      </c>
      <c r="C24" s="20">
        <f t="shared" ca="1" si="14"/>
        <v>0</v>
      </c>
      <c r="D24" s="20">
        <f t="shared" ca="1" si="14"/>
        <v>0</v>
      </c>
      <c r="E24" s="20">
        <f t="shared" ca="1" si="14"/>
        <v>0</v>
      </c>
      <c r="F24" s="20">
        <f t="shared" ca="1" si="14"/>
        <v>0</v>
      </c>
      <c r="G24" s="20">
        <f t="shared" ca="1" si="14"/>
        <v>0</v>
      </c>
      <c r="H24" s="20">
        <f t="shared" ca="1" si="14"/>
        <v>0</v>
      </c>
      <c r="I24" s="20">
        <f t="shared" ca="1" si="14"/>
        <v>0</v>
      </c>
      <c r="J24" s="20">
        <f t="shared" ca="1" si="14"/>
        <v>0</v>
      </c>
      <c r="K24" s="20">
        <f t="shared" ca="1" si="14"/>
        <v>0</v>
      </c>
      <c r="L24" s="20">
        <f t="shared" ca="1" si="14"/>
        <v>0</v>
      </c>
      <c r="M24" s="20">
        <f t="shared" ca="1" si="14"/>
        <v>0</v>
      </c>
      <c r="N24" s="20">
        <f t="shared" ca="1" si="14"/>
        <v>0</v>
      </c>
      <c r="O24" s="20">
        <f t="shared" ca="1" si="14"/>
        <v>0</v>
      </c>
      <c r="P24" s="20">
        <f t="shared" ca="1" si="14"/>
        <v>0</v>
      </c>
      <c r="Q24" s="20">
        <f t="shared" ca="1" si="14"/>
        <v>0</v>
      </c>
      <c r="R24" s="20">
        <f t="shared" ca="1" si="14"/>
        <v>0</v>
      </c>
      <c r="S24" s="20">
        <f t="shared" ca="1" si="14"/>
        <v>0</v>
      </c>
      <c r="T24" s="20">
        <f t="shared" ca="1" si="14"/>
        <v>0</v>
      </c>
      <c r="U24" s="20">
        <f t="shared" ca="1" si="14"/>
        <v>0</v>
      </c>
      <c r="V24" s="20">
        <f t="shared" ca="1" si="14"/>
        <v>0</v>
      </c>
      <c r="W24" s="20">
        <f t="shared" ca="1" si="14"/>
        <v>0</v>
      </c>
      <c r="X24" s="20">
        <f t="shared" ca="1" si="14"/>
        <v>0</v>
      </c>
      <c r="Y24" s="20">
        <f t="shared" ca="1" si="14"/>
        <v>0</v>
      </c>
      <c r="Z24" s="20">
        <f t="shared" ca="1" si="14"/>
        <v>0</v>
      </c>
      <c r="AA24" s="20">
        <f t="shared" ca="1" si="14"/>
        <v>0</v>
      </c>
      <c r="AB24" s="20">
        <f t="shared" ca="1" si="14"/>
        <v>0</v>
      </c>
      <c r="AC24" s="20">
        <f t="shared" ca="1" si="14"/>
        <v>0</v>
      </c>
      <c r="AD24" s="20">
        <f t="shared" ca="1" si="14"/>
        <v>0</v>
      </c>
      <c r="AE24" s="20">
        <f t="shared" ca="1" si="14"/>
        <v>0</v>
      </c>
      <c r="AF24" s="20">
        <f t="shared" ca="1" si="14"/>
        <v>0</v>
      </c>
      <c r="AG24" s="8"/>
    </row>
    <row r="25" spans="1:33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35">
      <c r="A26" s="8"/>
      <c r="B26" s="21">
        <f ca="1">MIN(DATE(JAHR-1,MONAT,1),DATE(YEAR(TODAY())-2,MONTH(TODAY()),1))</f>
        <v>44621</v>
      </c>
      <c r="C26" s="21">
        <f t="shared" ref="C26:Z26" ca="1" si="15">EDATE($B26,COLUMN(C26)-COLUMN($B$26))</f>
        <v>44652</v>
      </c>
      <c r="D26" s="21">
        <f t="shared" ca="1" si="15"/>
        <v>44682</v>
      </c>
      <c r="E26" s="21">
        <f t="shared" ca="1" si="15"/>
        <v>44713</v>
      </c>
      <c r="F26" s="21">
        <f t="shared" ca="1" si="15"/>
        <v>44743</v>
      </c>
      <c r="G26" s="21">
        <f t="shared" ca="1" si="15"/>
        <v>44774</v>
      </c>
      <c r="H26" s="21">
        <f t="shared" ca="1" si="15"/>
        <v>44805</v>
      </c>
      <c r="I26" s="21">
        <f t="shared" ca="1" si="15"/>
        <v>44835</v>
      </c>
      <c r="J26" s="21">
        <f t="shared" ca="1" si="15"/>
        <v>44866</v>
      </c>
      <c r="K26" s="21">
        <f t="shared" ca="1" si="15"/>
        <v>44896</v>
      </c>
      <c r="L26" s="21">
        <f t="shared" ca="1" si="15"/>
        <v>44927</v>
      </c>
      <c r="M26" s="21">
        <f t="shared" ca="1" si="15"/>
        <v>44958</v>
      </c>
      <c r="N26" s="21">
        <f t="shared" ca="1" si="15"/>
        <v>44986</v>
      </c>
      <c r="O26" s="21">
        <f t="shared" ca="1" si="15"/>
        <v>45017</v>
      </c>
      <c r="P26" s="21">
        <f t="shared" ca="1" si="15"/>
        <v>45047</v>
      </c>
      <c r="Q26" s="21">
        <f t="shared" ca="1" si="15"/>
        <v>45078</v>
      </c>
      <c r="R26" s="21">
        <f t="shared" ca="1" si="15"/>
        <v>45108</v>
      </c>
      <c r="S26" s="21">
        <f t="shared" ca="1" si="15"/>
        <v>45139</v>
      </c>
      <c r="T26" s="21">
        <f t="shared" ca="1" si="15"/>
        <v>45170</v>
      </c>
      <c r="U26" s="21">
        <f t="shared" ca="1" si="15"/>
        <v>45200</v>
      </c>
      <c r="V26" s="21">
        <f t="shared" ca="1" si="15"/>
        <v>45231</v>
      </c>
      <c r="W26" s="21">
        <f t="shared" ca="1" si="15"/>
        <v>45261</v>
      </c>
      <c r="X26" s="21">
        <f t="shared" ca="1" si="15"/>
        <v>45292</v>
      </c>
      <c r="Y26" s="21">
        <f t="shared" ca="1" si="15"/>
        <v>45323</v>
      </c>
      <c r="Z26" s="21">
        <f t="shared" ca="1" si="15"/>
        <v>45352</v>
      </c>
      <c r="AA26" s="8"/>
      <c r="AB26" s="8"/>
      <c r="AC26" s="8"/>
      <c r="AD26" s="8"/>
      <c r="AE26" s="8"/>
      <c r="AF26" s="8"/>
      <c r="AG26" s="8"/>
    </row>
    <row r="27" spans="1:33" x14ac:dyDescent="0.35">
      <c r="A27" s="8"/>
      <c r="B27" s="22">
        <f t="shared" ref="B27:Z27" ca="1" si="16">IFERROR(VLOOKUP("ResourcePresenceTimeSaldo-"&amp;YEAR(B$26)&amp;"-"&amp;IF(MONTH(B$26)&lt;10,"0"&amp;MONTH(B$26),MONTH(B$26)),Saldi,2,FALSE)/$B$36/86400,0)</f>
        <v>0</v>
      </c>
      <c r="C27" s="22">
        <f t="shared" ca="1" si="16"/>
        <v>0</v>
      </c>
      <c r="D27" s="22">
        <f t="shared" ca="1" si="16"/>
        <v>0</v>
      </c>
      <c r="E27" s="22">
        <f t="shared" ca="1" si="16"/>
        <v>0</v>
      </c>
      <c r="F27" s="22">
        <f t="shared" ca="1" si="16"/>
        <v>0</v>
      </c>
      <c r="G27" s="22">
        <f t="shared" ca="1" si="16"/>
        <v>0</v>
      </c>
      <c r="H27" s="22">
        <f t="shared" ca="1" si="16"/>
        <v>0</v>
      </c>
      <c r="I27" s="22">
        <f t="shared" ca="1" si="16"/>
        <v>0</v>
      </c>
      <c r="J27" s="22">
        <f t="shared" ca="1" si="16"/>
        <v>0</v>
      </c>
      <c r="K27" s="22">
        <f t="shared" ca="1" si="16"/>
        <v>0</v>
      </c>
      <c r="L27" s="22">
        <f t="shared" ca="1" si="16"/>
        <v>0</v>
      </c>
      <c r="M27" s="22">
        <f t="shared" ca="1" si="16"/>
        <v>0</v>
      </c>
      <c r="N27" s="22">
        <f t="shared" ca="1" si="16"/>
        <v>0</v>
      </c>
      <c r="O27" s="22">
        <f t="shared" ca="1" si="16"/>
        <v>0</v>
      </c>
      <c r="P27" s="22">
        <f t="shared" ca="1" si="16"/>
        <v>0</v>
      </c>
      <c r="Q27" s="22">
        <f t="shared" ca="1" si="16"/>
        <v>0</v>
      </c>
      <c r="R27" s="22">
        <f t="shared" ca="1" si="16"/>
        <v>0</v>
      </c>
      <c r="S27" s="22">
        <f t="shared" ca="1" si="16"/>
        <v>0</v>
      </c>
      <c r="T27" s="22">
        <f t="shared" ca="1" si="16"/>
        <v>0</v>
      </c>
      <c r="U27" s="22">
        <f t="shared" ca="1" si="16"/>
        <v>0</v>
      </c>
      <c r="V27" s="22">
        <f t="shared" ca="1" si="16"/>
        <v>0</v>
      </c>
      <c r="W27" s="22">
        <f t="shared" ca="1" si="16"/>
        <v>0</v>
      </c>
      <c r="X27" s="22">
        <f t="shared" ca="1" si="16"/>
        <v>0</v>
      </c>
      <c r="Y27" s="22">
        <f t="shared" ca="1" si="16"/>
        <v>0</v>
      </c>
      <c r="Z27" s="22">
        <f t="shared" ca="1" si="16"/>
        <v>0</v>
      </c>
      <c r="AA27" s="8"/>
      <c r="AB27" s="8"/>
      <c r="AC27" s="8"/>
      <c r="AD27" s="8"/>
      <c r="AE27" s="8"/>
      <c r="AF27" s="8"/>
      <c r="AG27" s="8"/>
    </row>
    <row r="28" spans="1:33" x14ac:dyDescent="0.35">
      <c r="A28" s="8"/>
      <c r="B28" s="22">
        <f ca="1">IFERROR(VLOOKUP(AbsenceTypes!$A3&amp;"-"&amp;YEAR(B$26)&amp;"-"&amp;IF(MONTH(B$26)&lt;10,"0"&amp;MONTH(B$26),MONTH(B$26)),Saldi,2,FALSE)/$B$36/86400,0)</f>
        <v>0</v>
      </c>
      <c r="C28" s="22">
        <f ca="1">IFERROR(VLOOKUP(AbsenceTypes!$A3&amp;"-"&amp;YEAR(C$26)&amp;"-"&amp;IF(MONTH(C$26)&lt;10,"0"&amp;MONTH(C$26),MONTH(C$26)),Saldi,2,FALSE)/$B$36/86400,0)</f>
        <v>0</v>
      </c>
      <c r="D28" s="22">
        <f ca="1">IFERROR(VLOOKUP(AbsenceTypes!$A3&amp;"-"&amp;YEAR(D$26)&amp;"-"&amp;IF(MONTH(D$26)&lt;10,"0"&amp;MONTH(D$26),MONTH(D$26)),Saldi,2,FALSE)/$B$36/86400,0)</f>
        <v>0</v>
      </c>
      <c r="E28" s="22">
        <f ca="1">IFERROR(VLOOKUP(AbsenceTypes!$A3&amp;"-"&amp;YEAR(E$26)&amp;"-"&amp;IF(MONTH(E$26)&lt;10,"0"&amp;MONTH(E$26),MONTH(E$26)),Saldi,2,FALSE)/$B$36/86400,0)</f>
        <v>0</v>
      </c>
      <c r="F28" s="22">
        <f ca="1">IFERROR(VLOOKUP(AbsenceTypes!$A3&amp;"-"&amp;YEAR(F$26)&amp;"-"&amp;IF(MONTH(F$26)&lt;10,"0"&amp;MONTH(F$26),MONTH(F$26)),Saldi,2,FALSE)/$B$36/86400,0)</f>
        <v>0</v>
      </c>
      <c r="G28" s="22">
        <f ca="1">IFERROR(VLOOKUP(AbsenceTypes!$A3&amp;"-"&amp;YEAR(G$26)&amp;"-"&amp;IF(MONTH(G$26)&lt;10,"0"&amp;MONTH(G$26),MONTH(G$26)),Saldi,2,FALSE)/$B$36/86400,0)</f>
        <v>0</v>
      </c>
      <c r="H28" s="22">
        <f ca="1">IFERROR(VLOOKUP(AbsenceTypes!$A3&amp;"-"&amp;YEAR(H$26)&amp;"-"&amp;IF(MONTH(H$26)&lt;10,"0"&amp;MONTH(H$26),MONTH(H$26)),Saldi,2,FALSE)/$B$36/86400,0)</f>
        <v>0</v>
      </c>
      <c r="I28" s="22">
        <f ca="1">IFERROR(VLOOKUP(AbsenceTypes!$A3&amp;"-"&amp;YEAR(I$26)&amp;"-"&amp;IF(MONTH(I$26)&lt;10,"0"&amp;MONTH(I$26),MONTH(I$26)),Saldi,2,FALSE)/$B$36/86400,0)</f>
        <v>0</v>
      </c>
      <c r="J28" s="22">
        <f ca="1">IFERROR(VLOOKUP(AbsenceTypes!$A3&amp;"-"&amp;YEAR(J$26)&amp;"-"&amp;IF(MONTH(J$26)&lt;10,"0"&amp;MONTH(J$26),MONTH(J$26)),Saldi,2,FALSE)/$B$36/86400,0)</f>
        <v>0</v>
      </c>
      <c r="K28" s="22">
        <f ca="1">IFERROR(VLOOKUP(AbsenceTypes!$A3&amp;"-"&amp;YEAR(K$26)&amp;"-"&amp;IF(MONTH(K$26)&lt;10,"0"&amp;MONTH(K$26),MONTH(K$26)),Saldi,2,FALSE)/$B$36/86400,0)</f>
        <v>0</v>
      </c>
      <c r="L28" s="22">
        <f ca="1">IFERROR(VLOOKUP(AbsenceTypes!$A3&amp;"-"&amp;YEAR(L$26)&amp;"-"&amp;IF(MONTH(L$26)&lt;10,"0"&amp;MONTH(L$26),MONTH(L$26)),Saldi,2,FALSE)/$B$36/86400,0)</f>
        <v>0</v>
      </c>
      <c r="M28" s="22">
        <f ca="1">IFERROR(VLOOKUP(AbsenceTypes!$A3&amp;"-"&amp;YEAR(M$26)&amp;"-"&amp;IF(MONTH(M$26)&lt;10,"0"&amp;MONTH(M$26),MONTH(M$26)),Saldi,2,FALSE)/$B$36/86400,0)</f>
        <v>0</v>
      </c>
      <c r="N28" s="22">
        <f ca="1">IFERROR(VLOOKUP(AbsenceTypes!$A3&amp;"-"&amp;YEAR(N$26)&amp;"-"&amp;IF(MONTH(N$26)&lt;10,"0"&amp;MONTH(N$26),MONTH(N$26)),Saldi,2,FALSE)/$B$36/86400,0)</f>
        <v>0</v>
      </c>
      <c r="O28" s="22">
        <f ca="1">IFERROR(VLOOKUP(AbsenceTypes!$A3&amp;"-"&amp;YEAR(O$26)&amp;"-"&amp;IF(MONTH(O$26)&lt;10,"0"&amp;MONTH(O$26),MONTH(O$26)),Saldi,2,FALSE)/$B$36/86400,0)</f>
        <v>0</v>
      </c>
      <c r="P28" s="22">
        <f ca="1">IFERROR(VLOOKUP(AbsenceTypes!$A3&amp;"-"&amp;YEAR(P$26)&amp;"-"&amp;IF(MONTH(P$26)&lt;10,"0"&amp;MONTH(P$26),MONTH(P$26)),Saldi,2,FALSE)/$B$36/86400,0)</f>
        <v>0</v>
      </c>
      <c r="Q28" s="22">
        <f ca="1">IFERROR(VLOOKUP(AbsenceTypes!$A3&amp;"-"&amp;YEAR(Q$26)&amp;"-"&amp;IF(MONTH(Q$26)&lt;10,"0"&amp;MONTH(Q$26),MONTH(Q$26)),Saldi,2,FALSE)/$B$36/86400,0)</f>
        <v>0</v>
      </c>
      <c r="R28" s="22">
        <f ca="1">IFERROR(VLOOKUP(AbsenceTypes!$A3&amp;"-"&amp;YEAR(R$26)&amp;"-"&amp;IF(MONTH(R$26)&lt;10,"0"&amp;MONTH(R$26),MONTH(R$26)),Saldi,2,FALSE)/$B$36/86400,0)</f>
        <v>0</v>
      </c>
      <c r="S28" s="22">
        <f ca="1">IFERROR(VLOOKUP(AbsenceTypes!$A3&amp;"-"&amp;YEAR(S$26)&amp;"-"&amp;IF(MONTH(S$26)&lt;10,"0"&amp;MONTH(S$26),MONTH(S$26)),Saldi,2,FALSE)/$B$36/86400,0)</f>
        <v>0</v>
      </c>
      <c r="T28" s="22">
        <f ca="1">IFERROR(VLOOKUP(AbsenceTypes!$A3&amp;"-"&amp;YEAR(T$26)&amp;"-"&amp;IF(MONTH(T$26)&lt;10,"0"&amp;MONTH(T$26),MONTH(T$26)),Saldi,2,FALSE)/$B$36/86400,0)</f>
        <v>0</v>
      </c>
      <c r="U28" s="22">
        <f ca="1">IFERROR(VLOOKUP(AbsenceTypes!$A3&amp;"-"&amp;YEAR(U$26)&amp;"-"&amp;IF(MONTH(U$26)&lt;10,"0"&amp;MONTH(U$26),MONTH(U$26)),Saldi,2,FALSE)/$B$36/86400,0)</f>
        <v>0</v>
      </c>
      <c r="V28" s="22">
        <f ca="1">IFERROR(VLOOKUP(AbsenceTypes!$A3&amp;"-"&amp;YEAR(V$26)&amp;"-"&amp;IF(MONTH(V$26)&lt;10,"0"&amp;MONTH(V$26),MONTH(V$26)),Saldi,2,FALSE)/$B$36/86400,0)</f>
        <v>0</v>
      </c>
      <c r="W28" s="22">
        <f ca="1">IFERROR(VLOOKUP(AbsenceTypes!$A3&amp;"-"&amp;YEAR(W$26)&amp;"-"&amp;IF(MONTH(W$26)&lt;10,"0"&amp;MONTH(W$26),MONTH(W$26)),Saldi,2,FALSE)/$B$36/86400,0)</f>
        <v>0</v>
      </c>
      <c r="X28" s="22">
        <f ca="1">IFERROR(VLOOKUP(AbsenceTypes!$A3&amp;"-"&amp;YEAR(X$26)&amp;"-"&amp;IF(MONTH(X$26)&lt;10,"0"&amp;MONTH(X$26),MONTH(X$26)),Saldi,2,FALSE)/$B$36/86400,0)</f>
        <v>0</v>
      </c>
      <c r="Y28" s="22">
        <f ca="1">IFERROR(VLOOKUP(AbsenceTypes!$A3&amp;"-"&amp;YEAR(Y$26)&amp;"-"&amp;IF(MONTH(Y$26)&lt;10,"0"&amp;MONTH(Y$26),MONTH(Y$26)),Saldi,2,FALSE)/$B$36/86400,0)</f>
        <v>0</v>
      </c>
      <c r="Z28" s="22">
        <f ca="1">IFERROR(VLOOKUP(AbsenceTypes!$A3&amp;"-"&amp;YEAR(Z$26)&amp;"-"&amp;IF(MONTH(Z$26)&lt;10,"0"&amp;MONTH(Z$26),MONTH(Z$26)),Saldi,2,FALSE)/$B$36/86400,0)</f>
        <v>0</v>
      </c>
      <c r="AA28" s="8"/>
      <c r="AB28" s="8"/>
      <c r="AC28" s="8"/>
      <c r="AD28" s="8"/>
      <c r="AE28" s="8"/>
      <c r="AF28" s="8"/>
      <c r="AG28" s="8"/>
    </row>
    <row r="29" spans="1:33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x14ac:dyDescent="0.35">
      <c r="A34" s="53" t="s">
        <v>5970</v>
      </c>
      <c r="B34" s="5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1:33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3" x14ac:dyDescent="0.35">
      <c r="A36" s="39" t="s">
        <v>5975</v>
      </c>
      <c r="B36" s="40">
        <f ca="1">IFERROR(IF(MAX($C$10:$AG$10)&lt;=0,8/24,MAX($C$10:$AG$10)),8/24)</f>
        <v>0.33333333333333331</v>
      </c>
      <c r="C36" s="23" t="s">
        <v>5972</v>
      </c>
      <c r="D36" s="24" t="s">
        <v>5973</v>
      </c>
      <c r="E36" s="25" t="str">
        <f ca="1">IF(MONAT&gt;1,"+/-","")</f>
        <v>+/-</v>
      </c>
      <c r="F36" s="25" t="s">
        <v>5962</v>
      </c>
      <c r="G36" s="26" t="s">
        <v>5971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1:33" x14ac:dyDescent="0.35">
      <c r="A37" s="8"/>
      <c r="B37" s="8"/>
      <c r="C37" s="27">
        <f ca="1">JAHR-1</f>
        <v>2023</v>
      </c>
      <c r="D37" s="24">
        <f ca="1">JAHR</f>
        <v>2024</v>
      </c>
      <c r="E37" s="28">
        <f ca="1">IF(MONAT&gt;1,DATE(JAHR,MONAT-1,1),0)</f>
        <v>45292</v>
      </c>
      <c r="F37" s="29">
        <f ca="1">DATE(JAHR,MONAT,1)</f>
        <v>45323</v>
      </c>
      <c r="G37" s="30">
        <f ca="1">MIN(DATE(JAHR,MONAT+1,1)-1,TODAY())</f>
        <v>45351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1:33" x14ac:dyDescent="0.35">
      <c r="A38" s="41" t="s">
        <v>5974</v>
      </c>
      <c r="B38" s="42" t="s">
        <v>5959</v>
      </c>
      <c r="C38" s="31">
        <f ca="1">IFERROR(IF(VLOOKUP("ResourcePresenceTimeSaldo-"&amp;$C$37&amp;"-12",Saldi,2,FALSE)=0,"",IF(VLOOKUP("ResourcePresenceTimeSaldo-"&amp;$C$37&amp;"-12",Saldi,2,FALSE)&lt;0,TEXT(-VLOOKUP("ResourcePresenceTimeSaldo-"&amp;$C$37&amp;"-12",Saldi,2,FALSE)/86400,"-[hh]:mm"),TEXT(VLOOKUP("ResourcePresenceTimeSaldo-"&amp;$C$37&amp;"-12",Saldi,2,FALSE)/86400,"[hh]:mm"))),0)</f>
        <v>0</v>
      </c>
      <c r="D38" s="31">
        <f ca="1">IFERROR(IF(VLOOKUP("ResourcePresenceTimeCorrection-"&amp;$D$37&amp;"-01-01",Corrections,2,FALSE)=0,"",IF(VLOOKUP("ResourcePresenceTimeCorrection-"&amp;$D$37&amp;"-01-01",Corrections,2,FALSE)&lt;0,TEXT(-VLOOKUP("ResourcePresenceTimeCorrection-"&amp;$D$37&amp;"-01-01",Corrections,2,FALSE)/86400,"-[hh]:mm"),TEXT(VLOOKUP("ResourcePresenceTimeCorrection-"&amp;$D$37&amp;"-01-01",Corrections,2,FALSE)/86400,"[hh]:mm"))),0)</f>
        <v>0</v>
      </c>
      <c r="E38" s="31" t="str">
        <f ca="1">IFERROR(IF(MONAT&gt;1,IF(VLOOKUP("ResourcePresenceTimeSaldo-"&amp;JAHR&amp;"-"&amp;TEXT(MONAT-1,"00"),Saldi,2,FALSE)-VLOOKUP("ResourcePresenceTimeSaldo-"&amp;JAHR-1&amp;"-12",Saldi,2,FALSE)-IFERROR(VLOOKUP("ResourcePresenceTimeCorrection-"&amp;$D$37&amp;"-01-01",Corrections,2,FALSE),0)=0,"",IF(VLOOKUP("ResourcePresenceTimeSaldo-"&amp;JAHR&amp;"-"&amp;TEXT(MONAT-1,"00"),Saldi,2,FALSE)-VLOOKUP("ResourcePresenceTimeSaldo-"&amp;JAHR-1&amp;"-12",Saldi,2,FALSE)-IFERROR(VLOOKUP("ResourcePresenceTimeCorrection-"&amp;$D$37&amp;"-01-01",Corrections,2,FALSE),0)&lt;0,TEXT((-VLOOKUP("ResourcePresenceTimeSaldo-"&amp;JAHR&amp;"-"&amp;TEXT(MONAT-1,"00"),Saldi,2,FALSE)+VLOOKUP("ResourcePresenceTimeSaldo-"&amp;JAHR-1&amp;"-12",Saldi,2,FALSE)+IFERROR(VLOOKUP("ResourcePresenceTimeCorrection-"&amp;$D$37&amp;"-01-01",Corrections,2,FALSE),0))/86400,"-[hh]:mm"),TEXT((VLOOKUP("ResourcePresenceTimeSaldo-"&amp;JAHR&amp;"-"&amp;TEXT(MONAT-1,"00"),Saldi,2,FALSE)-VLOOKUP("ResourcePresenceTimeSaldo-"&amp;JAHR-1&amp;"-12",Saldi,2,FALSE)-IFERROR(VLOOKUP("ResourcePresenceTimeCorrection-"&amp;$D$37&amp;"-01-01",Corrections,2,FALSE),0))/86400,"[hh]:mm"))),0),"")</f>
        <v/>
      </c>
      <c r="F38" s="31" t="str">
        <f ca="1">IFERROR(IF(VLOOKUP("ResourcePresenceTimeSaldo-"&amp;JAHR&amp;"-"&amp;TEXT(MONAT, "00"),Saldi,2,FALSE)-VLOOKUP("ResourcePresenceTimeSaldo-"&amp;IF(MONAT&gt;1,JAHR,JAHR-1)&amp;"-"&amp;TEXT(IF(MONAT&gt;1,MONAT-1,12),"00"),Saldi,2,FALSE)-IF(MONAT=1,IFERROR(VLOOKUP("ResourcePresenceTimeCorrection-"&amp;$D$37&amp;"-01-01",Corrections,2,FALSE),0),0)=0,"",IF(VLOOKUP("ResourcePresenceTimeSaldo-"&amp;JAHR&amp;"-"&amp;TEXT(MONAT, "00"),Saldi,2,FALSE)-VLOOKUP("ResourcePresenceTimeSaldo-"&amp;IF(MONAT&gt;1,JAHR,JAHR-1)&amp;"-"&amp;TEXT(IF(MONAT&gt;1,MONAT-1,12),"00"),Saldi,2,FALSE)-IF(MONAT=1,IFERROR(VLOOKUP("ResourcePresenceTimeCorrection-"&amp;$D$37&amp;"-01-01",Corrections,2,FALSE),0),0)&lt;0,TEXT((-VLOOKUP("ResourcePresenceTimeSaldo-"&amp;JAHR&amp;"-"&amp;TEXT(MONAT, "00"),Saldi,2,FALSE)+VLOOKUP("ResourcePresenceTimeSaldo-"&amp;IF(MONAT&gt;1,JAHR,JAHR-1)&amp;"-"&amp;TEXT(IF(MONAT&gt;1,MONAT-1,12),"00"),Saldi,2,FALSE)+IF(MONAT=1,IFERROR(VLOOKUP("ResourcePresenceTimeCorrection-"&amp;$D$37&amp;"-01-01",Corrections,2,FALSE),0),0))/86400,"-[hh]:mm"),TEXT((VLOOKUP("ResourcePresenceTimeSaldo-"&amp;JAHR&amp;"-"&amp;TEXT(MONAT, "00"),Saldi,2,FALSE)-VLOOKUP("ResourcePresenceTimeSaldo-"&amp;IF(MONAT&gt;1,JAHR,JAHR-1)&amp;"-"&amp;TEXT(IF(MONAT&gt;1,MONAT-1,12),"00"),Saldi,2,FALSE)-IF(MONAT=1,IFERROR(VLOOKUP("ResourcePresenceTimeCorrection-"&amp;$D$37&amp;"-01-01",Corrections,2,FALSE),0),0))/86400,"[hh]:mm"))),"")</f>
        <v/>
      </c>
      <c r="G38" s="45">
        <f ca="1">IFERROR(IF(VLOOKUP("ResourcePresenceTimeSaldo-"&amp;JAHR&amp;"-"&amp;TEXT(MONAT, "00"),Saldi,2,FALSE)=0,"",IF(VLOOKUP("ResourcePresenceTimeSaldo-"&amp;JAHR&amp;"-"&amp;TEXT(MONAT, "00"),Saldi,2,FALSE)&lt;0,TEXT(-VLOOKUP("ResourcePresenceTimeSaldo-"&amp;JAHR&amp;"-"&amp;TEXT(MONAT, "00"),Saldi,2,FALSE)/86400,"-[hh]:mm"),TEXT(VLOOKUP("ResourcePresenceTimeSaldo-"&amp;JAHR&amp;"-"&amp;TEXT(MONAT, "00"),Saldi,2,FALSE)/86400,"[hh]:mm"))),0)</f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1:33" x14ac:dyDescent="0.35">
      <c r="A39" s="43" t="str">
        <f>AbsenceTypes!B3</f>
        <v>{jsdata.absenceTypes[0].name}</v>
      </c>
      <c r="B39" s="44" t="str">
        <f>AbsenceTypes!C3</f>
        <v>{jsdata.absenceTypes[0].code}</v>
      </c>
      <c r="C39" s="31">
        <f ca="1">IFERROR(VLOOKUP(AbsenceTypes!$A3&amp;"-"&amp;$C$37&amp;"-12",Saldi,2,FALSE)/$B$36/86400,0)</f>
        <v>0</v>
      </c>
      <c r="D39" s="32">
        <f ca="1">IFERROR(VLOOKUP(AbsenceTypes!$A3&amp;"-"&amp;$D$37&amp;"-01-01",Corrections,2,FALSE)/$B$36/86400,0)</f>
        <v>0</v>
      </c>
      <c r="E39" s="32" t="str">
        <f ca="1">IFERROR(IF(MONAT&gt;1,(VLOOKUP(AbsenceTypes!$A3&amp;"-"&amp;JAHR&amp;"-"&amp;TEXT(MONAT-1,"00"),Saldi,2,FALSE)-VLOOKUP(AbsenceTypes!$A3&amp;"-"&amp;JAHR-1&amp;"-12",Saldi,2,FALSE)-IFERROR(VLOOKUP(AbsenceTypes!$A3&amp;"-"&amp;$D$37&amp;"-01-01",Corrections,2,FALSE),0))/$B$36/86400,0),"")</f>
        <v/>
      </c>
      <c r="F39" s="32" t="str">
        <f ca="1">IFERROR((VLOOKUP(AbsenceTypes!$A3&amp;"-"&amp;JAHR&amp;"-"&amp;TEXT(MONAT,"00"),Saldi,2,FALSE)-VLOOKUP(AbsenceTypes!$A3&amp;"-"&amp;IF(MONAT&gt;1,JAHR,JAHR-1)&amp;"-"&amp;TEXT(IF(MONAT&gt;1,MONAT-1,12),"00"),Saldi,2,FALSE)-IF(MONAT=1,IFERROR(VLOOKUP(AbsenceTypes!$A3&amp;"-"&amp;$D$37&amp;"-01-01",Corrections,2,FALSE),0),0))/$B$36/86400,"")</f>
        <v/>
      </c>
      <c r="G39" s="46">
        <f ca="1">IFERROR(VLOOKUP(AbsenceTypes!$A3&amp;"-"&amp;JAHR&amp;"-"&amp;TEXT(MONAT, "00"),Saldi,2,FALSE)/$B$36/86400,0)</f>
        <v>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1:33" x14ac:dyDescent="0.35">
      <c r="A40" s="43" t="str">
        <f>AbsenceTypes!B4</f>
        <v>{jsdata.absenceTypes[1].name}</v>
      </c>
      <c r="B40" s="44" t="str">
        <f>AbsenceTypes!C4</f>
        <v>{jsdata.absenceTypes[1].code}</v>
      </c>
      <c r="C40" s="31">
        <f ca="1">IFERROR(VLOOKUP(AbsenceTypes!$A4&amp;"-"&amp;$C$37&amp;"-12",Saldi,2,FALSE)/$B$36/86400,0)</f>
        <v>0</v>
      </c>
      <c r="D40" s="32">
        <f ca="1">IFERROR(VLOOKUP(AbsenceTypes!$A4&amp;"-"&amp;$D$37&amp;"-01-01",Corrections,2,FALSE)/$B$36/86400,0)</f>
        <v>0</v>
      </c>
      <c r="E40" s="32" t="str">
        <f ca="1">IFERROR(IF(MONAT&gt;1,(VLOOKUP(AbsenceTypes!$A4&amp;"-"&amp;JAHR&amp;"-"&amp;TEXT(MONAT-1,"00"),Saldi,2,FALSE)-VLOOKUP(AbsenceTypes!$A4&amp;"-"&amp;JAHR-1&amp;"-12",Saldi,2,FALSE)-IFERROR(VLOOKUP(AbsenceTypes!$A4&amp;"-"&amp;$D$37&amp;"-01-01",Corrections,2,FALSE),0))/$B$36/86400,0),"")</f>
        <v/>
      </c>
      <c r="F40" s="32" t="str">
        <f ca="1">IFERROR((VLOOKUP(AbsenceTypes!$A4&amp;"-"&amp;JAHR&amp;"-"&amp;TEXT(MONAT,"00"),Saldi,2,FALSE)-VLOOKUP(AbsenceTypes!$A4&amp;"-"&amp;IF(MONAT&gt;1,JAHR,JAHR-1)&amp;"-"&amp;TEXT(IF(MONAT&gt;1,MONAT-1,12),"00"),Saldi,2,FALSE)-IF(MONAT=1,IFERROR(VLOOKUP(AbsenceTypes!$A4&amp;"-"&amp;$D$37&amp;"-01-01",Corrections,2,FALSE),0),0))/$B$36/86400,"")</f>
        <v/>
      </c>
      <c r="G40" s="46">
        <f ca="1">IFERROR(VLOOKUP(AbsenceTypes!$A4&amp;"-"&amp;JAHR&amp;"-"&amp;TEXT(MONAT, "00"),Saldi,2,FALSE)/$B$36/86400,0)</f>
        <v>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1:33" x14ac:dyDescent="0.35">
      <c r="A41" s="43" t="str">
        <f>AbsenceTypes!B5</f>
        <v>{jsdata.absenceTypes[2].name}</v>
      </c>
      <c r="B41" s="44" t="str">
        <f>AbsenceTypes!C5</f>
        <v>{jsdata.absenceTypes[2].code}</v>
      </c>
      <c r="C41" s="31">
        <f ca="1">IFERROR(VLOOKUP(AbsenceTypes!$A5&amp;"-"&amp;$C$37&amp;"-12",Saldi,2,FALSE)/$B$36/86400,0)</f>
        <v>0</v>
      </c>
      <c r="D41" s="32">
        <f ca="1">IFERROR(VLOOKUP(AbsenceTypes!$A5&amp;"-"&amp;$D$37&amp;"-01-01",Corrections,2,FALSE)/$B$36/86400,0)</f>
        <v>0</v>
      </c>
      <c r="E41" s="32" t="str">
        <f ca="1">IFERROR(IF(MONAT&gt;1,(VLOOKUP(AbsenceTypes!$A5&amp;"-"&amp;JAHR&amp;"-"&amp;TEXT(MONAT-1,"00"),Saldi,2,FALSE)-VLOOKUP(AbsenceTypes!$A5&amp;"-"&amp;JAHR-1&amp;"-12",Saldi,2,FALSE)-IFERROR(VLOOKUP(AbsenceTypes!$A5&amp;"-"&amp;$D$37&amp;"-01-01",Corrections,2,FALSE),0))/$B$36/86400,0),"")</f>
        <v/>
      </c>
      <c r="F41" s="32" t="str">
        <f ca="1">IFERROR((VLOOKUP(AbsenceTypes!$A5&amp;"-"&amp;JAHR&amp;"-"&amp;TEXT(MONAT,"00"),Saldi,2,FALSE)-VLOOKUP(AbsenceTypes!$A5&amp;"-"&amp;IF(MONAT&gt;1,JAHR,JAHR-1)&amp;"-"&amp;TEXT(IF(MONAT&gt;1,MONAT-1,12),"00"),Saldi,2,FALSE)-IF(MONAT=1,IFERROR(VLOOKUP(AbsenceTypes!$A5&amp;"-"&amp;$D$37&amp;"-01-01",Corrections,2,FALSE),0),0))/$B$36/86400,"")</f>
        <v/>
      </c>
      <c r="G41" s="46">
        <f ca="1">IFERROR(VLOOKUP(AbsenceTypes!$A5&amp;"-"&amp;JAHR&amp;"-"&amp;TEXT(MONAT, "00"),Saldi,2,FALSE)/$B$36/86400,0)</f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1:33" x14ac:dyDescent="0.35">
      <c r="A42" s="43" t="str">
        <f>AbsenceTypes!B6</f>
        <v>{jsdata.absenceTypes[3].name}</v>
      </c>
      <c r="B42" s="44" t="str">
        <f>AbsenceTypes!C6</f>
        <v>{jsdata.absenceTypes[3].code}</v>
      </c>
      <c r="C42" s="31">
        <f ca="1">IFERROR(VLOOKUP(AbsenceTypes!$A6&amp;"-"&amp;$C$37&amp;"-12",Saldi,2,FALSE)/$B$36/86400,0)</f>
        <v>0</v>
      </c>
      <c r="D42" s="32">
        <f ca="1">IFERROR(VLOOKUP(AbsenceTypes!$A6&amp;"-"&amp;$D$37&amp;"-01-01",Corrections,2,FALSE)/$B$36/86400,0)</f>
        <v>0</v>
      </c>
      <c r="E42" s="32" t="str">
        <f ca="1">IFERROR(IF(MONAT&gt;1,(VLOOKUP(AbsenceTypes!$A6&amp;"-"&amp;JAHR&amp;"-"&amp;TEXT(MONAT-1,"00"),Saldi,2,FALSE)-VLOOKUP(AbsenceTypes!$A6&amp;"-"&amp;JAHR-1&amp;"-12",Saldi,2,FALSE)-IFERROR(VLOOKUP(AbsenceTypes!$A6&amp;"-"&amp;$D$37&amp;"-01-01",Corrections,2,FALSE),0))/$B$36/86400,0),"")</f>
        <v/>
      </c>
      <c r="F42" s="32" t="str">
        <f ca="1">IFERROR((VLOOKUP(AbsenceTypes!$A6&amp;"-"&amp;JAHR&amp;"-"&amp;TEXT(MONAT,"00"),Saldi,2,FALSE)-VLOOKUP(AbsenceTypes!$A6&amp;"-"&amp;IF(MONAT&gt;1,JAHR,JAHR-1)&amp;"-"&amp;TEXT(IF(MONAT&gt;1,MONAT-1,12),"00"),Saldi,2,FALSE)-IF(MONAT=1,IFERROR(VLOOKUP(AbsenceTypes!$A6&amp;"-"&amp;$D$37&amp;"-01-01",Corrections,2,FALSE),0),0))/$B$36/86400,"")</f>
        <v/>
      </c>
      <c r="G42" s="46">
        <f ca="1">IFERROR(VLOOKUP(AbsenceTypes!$A6&amp;"-"&amp;JAHR&amp;"-"&amp;TEXT(MONAT, "00"),Saldi,2,FALSE)/$B$36/86400,0)</f>
        <v>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1:33" x14ac:dyDescent="0.35">
      <c r="A43" s="43" t="str">
        <f>AbsenceTypes!B7</f>
        <v>{jsdata.absenceTypes[4].name}</v>
      </c>
      <c r="B43" s="44" t="str">
        <f>AbsenceTypes!C7</f>
        <v>{jsdata.absenceTypes[4].code}</v>
      </c>
      <c r="C43" s="31">
        <f ca="1">IFERROR(VLOOKUP(AbsenceTypes!$A7&amp;"-"&amp;$C$37&amp;"-12",Saldi,2,FALSE)/$B$36/86400,0)</f>
        <v>0</v>
      </c>
      <c r="D43" s="32">
        <f ca="1">IFERROR(VLOOKUP(AbsenceTypes!$A7&amp;"-"&amp;$D$37&amp;"-01-01",Corrections,2,FALSE)/$B$36/86400,0)</f>
        <v>0</v>
      </c>
      <c r="E43" s="32" t="str">
        <f ca="1">IFERROR(IF(MONAT&gt;1,(VLOOKUP(AbsenceTypes!$A7&amp;"-"&amp;JAHR&amp;"-"&amp;TEXT(MONAT-1,"00"),Saldi,2,FALSE)-VLOOKUP(AbsenceTypes!$A7&amp;"-"&amp;JAHR-1&amp;"-12",Saldi,2,FALSE)-IFERROR(VLOOKUP(AbsenceTypes!$A7&amp;"-"&amp;$D$37&amp;"-01-01",Corrections,2,FALSE),0))/$B$36/86400,0),"")</f>
        <v/>
      </c>
      <c r="F43" s="32" t="str">
        <f ca="1">IFERROR((VLOOKUP(AbsenceTypes!$A7&amp;"-"&amp;JAHR&amp;"-"&amp;TEXT(MONAT,"00"),Saldi,2,FALSE)-VLOOKUP(AbsenceTypes!$A7&amp;"-"&amp;IF(MONAT&gt;1,JAHR,JAHR-1)&amp;"-"&amp;TEXT(IF(MONAT&gt;1,MONAT-1,12),"00"),Saldi,2,FALSE)-IF(MONAT=1,IFERROR(VLOOKUP(AbsenceTypes!$A7&amp;"-"&amp;$D$37&amp;"-01-01",Corrections,2,FALSE),0),0))/$B$36/86400,"")</f>
        <v/>
      </c>
      <c r="G43" s="46">
        <f ca="1">IFERROR(VLOOKUP(AbsenceTypes!$A7&amp;"-"&amp;JAHR&amp;"-"&amp;TEXT(MONAT, "00"),Saldi,2,FALSE)/$B$36/86400,0)</f>
        <v>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x14ac:dyDescent="0.35">
      <c r="A44" s="43" t="str">
        <f>AbsenceTypes!B8</f>
        <v>{jsdata.absenceTypes[5].name}</v>
      </c>
      <c r="B44" s="44" t="str">
        <f>AbsenceTypes!C8</f>
        <v>{jsdata.absenceTypes[5].code}</v>
      </c>
      <c r="C44" s="31">
        <f ca="1">IFERROR(VLOOKUP(AbsenceTypes!$A8&amp;"-"&amp;$C$37&amp;"-12",Saldi,2,FALSE)/$B$36/86400,0)</f>
        <v>0</v>
      </c>
      <c r="D44" s="32">
        <f ca="1">IFERROR(VLOOKUP(AbsenceTypes!$A8&amp;"-"&amp;$D$37&amp;"-01-01",Corrections,2,FALSE)/$B$36/86400,0)</f>
        <v>0</v>
      </c>
      <c r="E44" s="32" t="str">
        <f ca="1">IFERROR(IF(MONAT&gt;1,(VLOOKUP(AbsenceTypes!$A8&amp;"-"&amp;JAHR&amp;"-"&amp;TEXT(MONAT-1,"00"),Saldi,2,FALSE)-VLOOKUP(AbsenceTypes!$A8&amp;"-"&amp;JAHR-1&amp;"-12",Saldi,2,FALSE)-IFERROR(VLOOKUP(AbsenceTypes!$A8&amp;"-"&amp;$D$37&amp;"-01-01",Corrections,2,FALSE),0))/$B$36/86400,0),"")</f>
        <v/>
      </c>
      <c r="F44" s="32" t="str">
        <f ca="1">IFERROR((VLOOKUP(AbsenceTypes!$A8&amp;"-"&amp;JAHR&amp;"-"&amp;TEXT(MONAT,"00"),Saldi,2,FALSE)-VLOOKUP(AbsenceTypes!$A8&amp;"-"&amp;IF(MONAT&gt;1,JAHR,JAHR-1)&amp;"-"&amp;TEXT(IF(MONAT&gt;1,MONAT-1,12),"00"),Saldi,2,FALSE)-IF(MONAT=1,IFERROR(VLOOKUP(AbsenceTypes!$A8&amp;"-"&amp;$D$37&amp;"-01-01",Corrections,2,FALSE),0),0))/$B$36/86400,"")</f>
        <v/>
      </c>
      <c r="G44" s="46">
        <f ca="1">IFERROR(VLOOKUP(AbsenceTypes!$A8&amp;"-"&amp;JAHR&amp;"-"&amp;TEXT(MONAT, "00"),Saldi,2,FALSE)/$B$36/86400,0)</f>
        <v>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1:33" x14ac:dyDescent="0.35">
      <c r="A45" s="43" t="str">
        <f>AbsenceTypes!B9</f>
        <v>{jsdata.absenceTypes[6].name}</v>
      </c>
      <c r="B45" s="44" t="str">
        <f>AbsenceTypes!C9</f>
        <v>{jsdata.absenceTypes[6].code}</v>
      </c>
      <c r="C45" s="31">
        <f ca="1">IFERROR(VLOOKUP(AbsenceTypes!$A9&amp;"-"&amp;$C$37&amp;"-12",Saldi,2,FALSE)/$B$36/86400,0)</f>
        <v>0</v>
      </c>
      <c r="D45" s="32">
        <f ca="1">IFERROR(VLOOKUP(AbsenceTypes!$A9&amp;"-"&amp;$D$37&amp;"-01-01",Corrections,2,FALSE)/$B$36/86400,0)</f>
        <v>0</v>
      </c>
      <c r="E45" s="32" t="str">
        <f ca="1">IFERROR(IF(MONAT&gt;1,(VLOOKUP(AbsenceTypes!$A9&amp;"-"&amp;JAHR&amp;"-"&amp;TEXT(MONAT-1,"00"),Saldi,2,FALSE)-VLOOKUP(AbsenceTypes!$A9&amp;"-"&amp;JAHR-1&amp;"-12",Saldi,2,FALSE)-IFERROR(VLOOKUP(AbsenceTypes!$A9&amp;"-"&amp;$D$37&amp;"-01-01",Corrections,2,FALSE),0))/$B$36/86400,0),"")</f>
        <v/>
      </c>
      <c r="F45" s="32" t="str">
        <f ca="1">IFERROR((VLOOKUP(AbsenceTypes!$A9&amp;"-"&amp;JAHR&amp;"-"&amp;TEXT(MONAT,"00"),Saldi,2,FALSE)-VLOOKUP(AbsenceTypes!$A9&amp;"-"&amp;IF(MONAT&gt;1,JAHR,JAHR-1)&amp;"-"&amp;TEXT(IF(MONAT&gt;1,MONAT-1,12),"00"),Saldi,2,FALSE)-IF(MONAT=1,IFERROR(VLOOKUP(AbsenceTypes!$A9&amp;"-"&amp;$D$37&amp;"-01-01",Corrections,2,FALSE),0),0))/$B$36/86400,"")</f>
        <v/>
      </c>
      <c r="G45" s="46">
        <f ca="1">IFERROR(VLOOKUP(AbsenceTypes!$A9&amp;"-"&amp;JAHR&amp;"-"&amp;TEXT(MONAT, "00"),Saldi,2,FALSE)/$B$36/86400,0)</f>
        <v>0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1:33" x14ac:dyDescent="0.35">
      <c r="A46" s="43" t="str">
        <f>AbsenceTypes!B10</f>
        <v>{jsdata.absenceTypes[7].name}</v>
      </c>
      <c r="B46" s="44" t="str">
        <f>AbsenceTypes!C10</f>
        <v>{jsdata.absenceTypes[7].code}</v>
      </c>
      <c r="C46" s="31">
        <f ca="1">IFERROR(VLOOKUP(AbsenceTypes!$A10&amp;"-"&amp;$C$37&amp;"-12",Saldi,2,FALSE)/$B$36/86400,0)</f>
        <v>0</v>
      </c>
      <c r="D46" s="32">
        <f ca="1">IFERROR(VLOOKUP(AbsenceTypes!$A10&amp;"-"&amp;$D$37&amp;"-01-01",Corrections,2,FALSE)/$B$36/86400,0)</f>
        <v>0</v>
      </c>
      <c r="E46" s="32" t="str">
        <f ca="1">IFERROR(IF(MONAT&gt;1,(VLOOKUP(AbsenceTypes!$A10&amp;"-"&amp;JAHR&amp;"-"&amp;TEXT(MONAT-1,"00"),Saldi,2,FALSE)-VLOOKUP(AbsenceTypes!$A10&amp;"-"&amp;JAHR-1&amp;"-12",Saldi,2,FALSE)-IFERROR(VLOOKUP(AbsenceTypes!$A10&amp;"-"&amp;$D$37&amp;"-01-01",Corrections,2,FALSE),0))/$B$36/86400,0),"")</f>
        <v/>
      </c>
      <c r="F46" s="32" t="str">
        <f ca="1">IFERROR((VLOOKUP(AbsenceTypes!$A10&amp;"-"&amp;JAHR&amp;"-"&amp;TEXT(MONAT,"00"),Saldi,2,FALSE)-VLOOKUP(AbsenceTypes!$A10&amp;"-"&amp;IF(MONAT&gt;1,JAHR,JAHR-1)&amp;"-"&amp;TEXT(IF(MONAT&gt;1,MONAT-1,12),"00"),Saldi,2,FALSE)-IF(MONAT=1,IFERROR(VLOOKUP(AbsenceTypes!$A10&amp;"-"&amp;$D$37&amp;"-01-01",Corrections,2,FALSE),0),0))/$B$36/86400,"")</f>
        <v/>
      </c>
      <c r="G46" s="46">
        <f ca="1">IFERROR(VLOOKUP(AbsenceTypes!$A10&amp;"-"&amp;JAHR&amp;"-"&amp;TEXT(MONAT, "00"),Saldi,2,FALSE)/$B$36/86400,0)</f>
        <v>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1:33" x14ac:dyDescent="0.35">
      <c r="A47" s="43" t="str">
        <f>AbsenceTypes!B11</f>
        <v>{jsdata.absenceTypes[8].name}</v>
      </c>
      <c r="B47" s="44" t="str">
        <f>AbsenceTypes!C11</f>
        <v>{jsdata.absenceTypes[8].code}</v>
      </c>
      <c r="C47" s="31">
        <f ca="1">IFERROR(VLOOKUP(AbsenceTypes!$A11&amp;"-"&amp;$C$37&amp;"-12",Saldi,2,FALSE)/$B$36/86400,0)</f>
        <v>0</v>
      </c>
      <c r="D47" s="32">
        <f ca="1">IFERROR(VLOOKUP(AbsenceTypes!$A11&amp;"-"&amp;$D$37&amp;"-01-01",Corrections,2,FALSE)/$B$36/86400,0)</f>
        <v>0</v>
      </c>
      <c r="E47" s="32" t="str">
        <f ca="1">IFERROR(IF(MONAT&gt;1,(VLOOKUP(AbsenceTypes!$A11&amp;"-"&amp;JAHR&amp;"-"&amp;TEXT(MONAT-1,"00"),Saldi,2,FALSE)-VLOOKUP(AbsenceTypes!$A11&amp;"-"&amp;JAHR-1&amp;"-12",Saldi,2,FALSE)-IFERROR(VLOOKUP(AbsenceTypes!$A11&amp;"-"&amp;$D$37&amp;"-01-01",Corrections,2,FALSE),0))/$B$36/86400,0),"")</f>
        <v/>
      </c>
      <c r="F47" s="32" t="str">
        <f ca="1">IFERROR((VLOOKUP(AbsenceTypes!$A11&amp;"-"&amp;JAHR&amp;"-"&amp;TEXT(MONAT,"00"),Saldi,2,FALSE)-VLOOKUP(AbsenceTypes!$A11&amp;"-"&amp;IF(MONAT&gt;1,JAHR,JAHR-1)&amp;"-"&amp;TEXT(IF(MONAT&gt;1,MONAT-1,12),"00"),Saldi,2,FALSE)-IF(MONAT=1,IFERROR(VLOOKUP(AbsenceTypes!$A11&amp;"-"&amp;$D$37&amp;"-01-01",Corrections,2,FALSE),0),0))/$B$36/86400,"")</f>
        <v/>
      </c>
      <c r="G47" s="46">
        <f ca="1">IFERROR(VLOOKUP(AbsenceTypes!$A11&amp;"-"&amp;JAHR&amp;"-"&amp;TEXT(MONAT, "00"),Saldi,2,FALSE)/$B$36/86400,0)</f>
        <v>0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33"/>
      <c r="AD47" s="33"/>
      <c r="AE47" s="33"/>
      <c r="AF47" s="33"/>
      <c r="AG47" s="8"/>
    </row>
    <row r="48" spans="1:33" x14ac:dyDescent="0.35">
      <c r="A48" s="43" t="str">
        <f>AbsenceTypes!B12</f>
        <v>{jsdata.absenceTypes[9].name}</v>
      </c>
      <c r="B48" s="44" t="str">
        <f>AbsenceTypes!C12</f>
        <v>{jsdata.absenceTypes[9].code}</v>
      </c>
      <c r="C48" s="31">
        <f ca="1">IFERROR(VLOOKUP(AbsenceTypes!$A12&amp;"-"&amp;$C$37&amp;"-12",Saldi,2,FALSE)/$B$36/86400,0)</f>
        <v>0</v>
      </c>
      <c r="D48" s="32">
        <f ca="1">IFERROR(VLOOKUP(AbsenceTypes!$A12&amp;"-"&amp;$D$37&amp;"-01-01",Corrections,2,FALSE)/$B$36/86400,0)</f>
        <v>0</v>
      </c>
      <c r="E48" s="32" t="str">
        <f ca="1">IFERROR(IF(MONAT&gt;1,(VLOOKUP(AbsenceTypes!$A12&amp;"-"&amp;JAHR&amp;"-"&amp;TEXT(MONAT-1,"00"),Saldi,2,FALSE)-VLOOKUP(AbsenceTypes!$A12&amp;"-"&amp;JAHR-1&amp;"-12",Saldi,2,FALSE)-IFERROR(VLOOKUP(AbsenceTypes!$A12&amp;"-"&amp;$D$37&amp;"-01-01",Corrections,2,FALSE),0))/$B$36/86400,0),"")</f>
        <v/>
      </c>
      <c r="F48" s="32" t="str">
        <f ca="1">IFERROR((VLOOKUP(AbsenceTypes!$A12&amp;"-"&amp;JAHR&amp;"-"&amp;TEXT(MONAT,"00"),Saldi,2,FALSE)-VLOOKUP(AbsenceTypes!$A12&amp;"-"&amp;IF(MONAT&gt;1,JAHR,JAHR-1)&amp;"-"&amp;TEXT(IF(MONAT&gt;1,MONAT-1,12),"00"),Saldi,2,FALSE)-IF(MONAT=1,IFERROR(VLOOKUP(AbsenceTypes!$A12&amp;"-"&amp;$D$37&amp;"-01-01",Corrections,2,FALSE),0),0))/$B$36/86400,"")</f>
        <v/>
      </c>
      <c r="G48" s="46">
        <f ca="1">IFERROR(VLOOKUP(AbsenceTypes!$A12&amp;"-"&amp;JAHR&amp;"-"&amp;TEXT(MONAT, "00"),Saldi,2,FALSE)/$B$36/86400,0)</f>
        <v>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1:33" x14ac:dyDescent="0.35">
      <c r="A49" s="43" t="str">
        <f>AbsenceTypes!B13</f>
        <v>{jsdata.absenceTypes[10].name}</v>
      </c>
      <c r="B49" s="44" t="str">
        <f>AbsenceTypes!C13</f>
        <v>{jsdata.absenceTypes[10].code}</v>
      </c>
      <c r="C49" s="31">
        <f ca="1">IFERROR(VLOOKUP(AbsenceTypes!$A13&amp;"-"&amp;$C$37&amp;"-12",Saldi,2,FALSE)/$B$36/86400,0)</f>
        <v>0</v>
      </c>
      <c r="D49" s="32">
        <f ca="1">IFERROR(VLOOKUP(AbsenceTypes!$A13&amp;"-"&amp;$D$37&amp;"-01-01",Corrections,2,FALSE)/$B$36/86400,0)</f>
        <v>0</v>
      </c>
      <c r="E49" s="32" t="str">
        <f ca="1">IFERROR(IF(MONAT&gt;1,(VLOOKUP(AbsenceTypes!$A13&amp;"-"&amp;JAHR&amp;"-"&amp;TEXT(MONAT-1,"00"),Saldi,2,FALSE)-VLOOKUP(AbsenceTypes!$A13&amp;"-"&amp;JAHR-1&amp;"-12",Saldi,2,FALSE)-IFERROR(VLOOKUP(AbsenceTypes!$A13&amp;"-"&amp;$D$37&amp;"-01-01",Corrections,2,FALSE),0))/$B$36/86400,0),"")</f>
        <v/>
      </c>
      <c r="F49" s="32" t="str">
        <f ca="1">IFERROR((VLOOKUP(AbsenceTypes!$A13&amp;"-"&amp;JAHR&amp;"-"&amp;TEXT(MONAT,"00"),Saldi,2,FALSE)-VLOOKUP(AbsenceTypes!$A13&amp;"-"&amp;IF(MONAT&gt;1,JAHR,JAHR-1)&amp;"-"&amp;TEXT(IF(MONAT&gt;1,MONAT-1,12),"00"),Saldi,2,FALSE)-IF(MONAT=1,IFERROR(VLOOKUP(AbsenceTypes!$A13&amp;"-"&amp;$D$37&amp;"-01-01",Corrections,2,FALSE),0),0))/$B$36/86400,"")</f>
        <v/>
      </c>
      <c r="G49" s="46">
        <f ca="1">IFERROR(VLOOKUP(AbsenceTypes!$A13&amp;"-"&amp;JAHR&amp;"-"&amp;TEXT(MONAT, "00"),Saldi,2,FALSE)/$B$36/86400,0)</f>
        <v>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1:33" x14ac:dyDescent="0.35">
      <c r="A50" s="43" t="str">
        <f>AbsenceTypes!B14</f>
        <v>{jsdata.absenceTypes[11].name}</v>
      </c>
      <c r="B50" s="44" t="str">
        <f>AbsenceTypes!C14</f>
        <v>{jsdata.absenceTypes[11].code}</v>
      </c>
      <c r="C50" s="31">
        <f ca="1">IFERROR(VLOOKUP(AbsenceTypes!$A14&amp;"-"&amp;$C$37&amp;"-12",Saldi,2,FALSE)/$B$36/86400,0)</f>
        <v>0</v>
      </c>
      <c r="D50" s="32">
        <f ca="1">IFERROR(VLOOKUP(AbsenceTypes!$A14&amp;"-"&amp;$D$37&amp;"-01-01",Corrections,2,FALSE)/$B$36/86400,0)</f>
        <v>0</v>
      </c>
      <c r="E50" s="32" t="str">
        <f ca="1">IFERROR(IF(MONAT&gt;1,(VLOOKUP(AbsenceTypes!$A14&amp;"-"&amp;JAHR&amp;"-"&amp;TEXT(MONAT-1,"00"),Saldi,2,FALSE)-VLOOKUP(AbsenceTypes!$A14&amp;"-"&amp;JAHR-1&amp;"-12",Saldi,2,FALSE)-IFERROR(VLOOKUP(AbsenceTypes!$A14&amp;"-"&amp;$D$37&amp;"-01-01",Corrections,2,FALSE),0))/$B$36/86400,0),"")</f>
        <v/>
      </c>
      <c r="F50" s="32" t="str">
        <f ca="1">IFERROR((VLOOKUP(AbsenceTypes!$A14&amp;"-"&amp;JAHR&amp;"-"&amp;TEXT(MONAT,"00"),Saldi,2,FALSE)-VLOOKUP(AbsenceTypes!$A14&amp;"-"&amp;IF(MONAT&gt;1,JAHR,JAHR-1)&amp;"-"&amp;TEXT(IF(MONAT&gt;1,MONAT-1,12),"00"),Saldi,2,FALSE)-IF(MONAT=1,IFERROR(VLOOKUP(AbsenceTypes!$A14&amp;"-"&amp;$D$37&amp;"-01-01",Corrections,2,FALSE),0),0))/$B$36/86400,"")</f>
        <v/>
      </c>
      <c r="G50" s="46">
        <f ca="1">IFERROR(VLOOKUP(AbsenceTypes!$A14&amp;"-"&amp;JAHR&amp;"-"&amp;TEXT(MONAT, "00"),Saldi,2,FALSE)/$B$36/86400,0)</f>
        <v>0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1:33" x14ac:dyDescent="0.35">
      <c r="A51" s="43" t="str">
        <f>AbsenceTypes!B15</f>
        <v>{jsdata.absenceTypes[12].name}</v>
      </c>
      <c r="B51" s="44" t="str">
        <f>AbsenceTypes!C15</f>
        <v>{jsdata.absenceTypes[12].code}</v>
      </c>
      <c r="C51" s="31">
        <f ca="1">IFERROR(VLOOKUP(AbsenceTypes!$A15&amp;"-"&amp;$C$37&amp;"-12",Saldi,2,FALSE)/$B$36/86400,0)</f>
        <v>0</v>
      </c>
      <c r="D51" s="32">
        <f ca="1">IFERROR(VLOOKUP(AbsenceTypes!$A15&amp;"-"&amp;$D$37&amp;"-01-01",Corrections,2,FALSE)/$B$36/86400,0)</f>
        <v>0</v>
      </c>
      <c r="E51" s="32" t="str">
        <f ca="1">IFERROR(IF(MONAT&gt;1,(VLOOKUP(AbsenceTypes!$A15&amp;"-"&amp;JAHR&amp;"-"&amp;TEXT(MONAT-1,"00"),Saldi,2,FALSE)-VLOOKUP(AbsenceTypes!$A15&amp;"-"&amp;JAHR-1&amp;"-12",Saldi,2,FALSE)-IFERROR(VLOOKUP(AbsenceTypes!$A15&amp;"-"&amp;$D$37&amp;"-01-01",Corrections,2,FALSE),0))/$B$36/86400,0),"")</f>
        <v/>
      </c>
      <c r="F51" s="32" t="str">
        <f ca="1">IFERROR((VLOOKUP(AbsenceTypes!$A15&amp;"-"&amp;JAHR&amp;"-"&amp;TEXT(MONAT,"00"),Saldi,2,FALSE)-VLOOKUP(AbsenceTypes!$A15&amp;"-"&amp;IF(MONAT&gt;1,JAHR,JAHR-1)&amp;"-"&amp;TEXT(IF(MONAT&gt;1,MONAT-1,12),"00"),Saldi,2,FALSE)-IF(MONAT=1,IFERROR(VLOOKUP(AbsenceTypes!$A15&amp;"-"&amp;$D$37&amp;"-01-01",Corrections,2,FALSE),0),0))/$B$36/86400,"")</f>
        <v/>
      </c>
      <c r="G51" s="46">
        <f ca="1">IFERROR(VLOOKUP(AbsenceTypes!$A15&amp;"-"&amp;JAHR&amp;"-"&amp;TEXT(MONAT, "00"),Saldi,2,FALSE)/$B$36/86400,0)</f>
        <v>0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1:33" x14ac:dyDescent="0.35">
      <c r="A52" s="43" t="str">
        <f>AbsenceTypes!B16</f>
        <v>{jsdata.absenceTypes[13].name}</v>
      </c>
      <c r="B52" s="44" t="str">
        <f>AbsenceTypes!C16</f>
        <v>{jsdata.absenceTypes[13].code}</v>
      </c>
      <c r="C52" s="31">
        <f ca="1">IFERROR(VLOOKUP(AbsenceTypes!$A16&amp;"-"&amp;$C$37&amp;"-12",Saldi,2,FALSE)/$B$36/86400,0)</f>
        <v>0</v>
      </c>
      <c r="D52" s="32">
        <f ca="1">IFERROR(VLOOKUP(AbsenceTypes!$A16&amp;"-"&amp;$D$37&amp;"-01-01",Corrections,2,FALSE)/$B$36/86400,0)</f>
        <v>0</v>
      </c>
      <c r="E52" s="32" t="str">
        <f ca="1">IFERROR(IF(MONAT&gt;1,(VLOOKUP(AbsenceTypes!$A16&amp;"-"&amp;JAHR&amp;"-"&amp;TEXT(MONAT-1,"00"),Saldi,2,FALSE)-VLOOKUP(AbsenceTypes!$A16&amp;"-"&amp;JAHR-1&amp;"-12",Saldi,2,FALSE)-IFERROR(VLOOKUP(AbsenceTypes!$A16&amp;"-"&amp;$D$37&amp;"-01-01",Corrections,2,FALSE),0))/$B$36/86400,0),"")</f>
        <v/>
      </c>
      <c r="F52" s="32" t="str">
        <f ca="1">IFERROR((VLOOKUP(AbsenceTypes!$A16&amp;"-"&amp;JAHR&amp;"-"&amp;TEXT(MONAT,"00"),Saldi,2,FALSE)-VLOOKUP(AbsenceTypes!$A16&amp;"-"&amp;IF(MONAT&gt;1,JAHR,JAHR-1)&amp;"-"&amp;TEXT(IF(MONAT&gt;1,MONAT-1,12),"00"),Saldi,2,FALSE)-IF(MONAT=1,IFERROR(VLOOKUP(AbsenceTypes!$A16&amp;"-"&amp;$D$37&amp;"-01-01",Corrections,2,FALSE),0),0))/$B$36/86400,"")</f>
        <v/>
      </c>
      <c r="G52" s="46">
        <f ca="1">IFERROR(VLOOKUP(AbsenceTypes!$A16&amp;"-"&amp;JAHR&amp;"-"&amp;TEXT(MONAT, "00"),Saldi,2,FALSE)/$B$36/86400,0)</f>
        <v>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1:33" x14ac:dyDescent="0.35">
      <c r="A53" s="43" t="str">
        <f>AbsenceTypes!B17</f>
        <v>{jsdata.absenceTypes[14].name}</v>
      </c>
      <c r="B53" s="44" t="str">
        <f>AbsenceTypes!C17</f>
        <v>{jsdata.absenceTypes[14].code}</v>
      </c>
      <c r="C53" s="31">
        <f ca="1">IFERROR(VLOOKUP(AbsenceTypes!$A17&amp;"-"&amp;$C$37&amp;"-12",Saldi,2,FALSE)/$B$36/86400,0)</f>
        <v>0</v>
      </c>
      <c r="D53" s="32">
        <f ca="1">IFERROR(VLOOKUP(AbsenceTypes!$A17&amp;"-"&amp;$D$37&amp;"-01-01",Corrections,2,FALSE)/$B$36/86400,0)</f>
        <v>0</v>
      </c>
      <c r="E53" s="32" t="str">
        <f ca="1">IFERROR(IF(MONAT&gt;1,(VLOOKUP(AbsenceTypes!$A17&amp;"-"&amp;JAHR&amp;"-"&amp;TEXT(MONAT-1,"00"),Saldi,2,FALSE)-VLOOKUP(AbsenceTypes!$A17&amp;"-"&amp;JAHR-1&amp;"-12",Saldi,2,FALSE)-IFERROR(VLOOKUP(AbsenceTypes!$A17&amp;"-"&amp;$D$37&amp;"-01-01",Corrections,2,FALSE),0))/$B$36/86400,0),"")</f>
        <v/>
      </c>
      <c r="F53" s="32" t="str">
        <f ca="1">IFERROR((VLOOKUP(AbsenceTypes!$A17&amp;"-"&amp;JAHR&amp;"-"&amp;TEXT(MONAT,"00"),Saldi,2,FALSE)-VLOOKUP(AbsenceTypes!$A17&amp;"-"&amp;IF(MONAT&gt;1,JAHR,JAHR-1)&amp;"-"&amp;TEXT(IF(MONAT&gt;1,MONAT-1,12),"00"),Saldi,2,FALSE)-IF(MONAT=1,IFERROR(VLOOKUP(AbsenceTypes!$A17&amp;"-"&amp;$D$37&amp;"-01-01",Corrections,2,FALSE),0),0))/$B$36/86400,"")</f>
        <v/>
      </c>
      <c r="G53" s="46">
        <f ca="1">IFERROR(VLOOKUP(AbsenceTypes!$A17&amp;"-"&amp;JAHR&amp;"-"&amp;TEXT(MONAT, "00"),Saldi,2,FALSE)/$B$36/86400,0)</f>
        <v>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1:33" x14ac:dyDescent="0.35">
      <c r="A54" s="43" t="str">
        <f>AbsenceTypes!B18</f>
        <v>{jsdata.absenceTypes[15].name}</v>
      </c>
      <c r="B54" s="44" t="str">
        <f>AbsenceTypes!C18</f>
        <v>{jsdata.absenceTypes[15].code}</v>
      </c>
      <c r="C54" s="31">
        <f ca="1">IFERROR(VLOOKUP(AbsenceTypes!$A18&amp;"-"&amp;$C$37&amp;"-12",Saldi,2,FALSE)/$B$36/86400,0)</f>
        <v>0</v>
      </c>
      <c r="D54" s="32">
        <f ca="1">IFERROR(VLOOKUP(AbsenceTypes!$A18&amp;"-"&amp;$D$37&amp;"-01-01",Corrections,2,FALSE)/$B$36/86400,0)</f>
        <v>0</v>
      </c>
      <c r="E54" s="32" t="str">
        <f ca="1">IFERROR(IF(MONAT&gt;1,(VLOOKUP(AbsenceTypes!$A18&amp;"-"&amp;JAHR&amp;"-"&amp;TEXT(MONAT-1,"00"),Saldi,2,FALSE)-VLOOKUP(AbsenceTypes!$A18&amp;"-"&amp;JAHR-1&amp;"-12",Saldi,2,FALSE)-IFERROR(VLOOKUP(AbsenceTypes!$A18&amp;"-"&amp;$D$37&amp;"-01-01",Corrections,2,FALSE),0))/$B$36/86400,0),"")</f>
        <v/>
      </c>
      <c r="F54" s="32" t="str">
        <f ca="1">IFERROR((VLOOKUP(AbsenceTypes!$A18&amp;"-"&amp;JAHR&amp;"-"&amp;TEXT(MONAT,"00"),Saldi,2,FALSE)-VLOOKUP(AbsenceTypes!$A18&amp;"-"&amp;IF(MONAT&gt;1,JAHR,JAHR-1)&amp;"-"&amp;TEXT(IF(MONAT&gt;1,MONAT-1,12),"00"),Saldi,2,FALSE)-IF(MONAT=1,IFERROR(VLOOKUP(AbsenceTypes!$A18&amp;"-"&amp;$D$37&amp;"-01-01",Corrections,2,FALSE),0),0))/$B$36/86400,"")</f>
        <v/>
      </c>
      <c r="G54" s="47">
        <f ca="1">IFERROR(VLOOKUP(AbsenceTypes!$A18&amp;"-"&amp;JAHR&amp;"-"&amp;TEXT(MONAT, "00"),Saldi,2,FALSE)/$B$36/86400,0)</f>
        <v>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1:33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spans="1:33" x14ac:dyDescent="0.35">
      <c r="A56" s="48" t="str">
        <f>"Exported by " &amp;Resource!$B$7&amp; " at " &amp;Resource!$E$7&amp;". " &amp; Resource!$F$7</f>
        <v>Exported by {jsdata.exportedBy.resource ? jsdata.exportedBy.resource.name : jsdata.exportedBy.name} at {jsdata.exportedAt}. {jsdata.claim}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</row>
  </sheetData>
  <sheetProtection sheet="1" objects="1" scenarios="1" selectLockedCells="1"/>
  <mergeCells count="10">
    <mergeCell ref="A1:AD2"/>
    <mergeCell ref="A4:B4"/>
    <mergeCell ref="I4:K4"/>
    <mergeCell ref="L4:O4"/>
    <mergeCell ref="A6:B6"/>
    <mergeCell ref="A56:AG56"/>
    <mergeCell ref="A12:A14"/>
    <mergeCell ref="B12:B14"/>
    <mergeCell ref="A34:B34"/>
    <mergeCell ref="C4:G4"/>
  </mergeCells>
  <conditionalFormatting sqref="C8:AG9">
    <cfRule type="expression" dxfId="3" priority="4">
      <formula>OR(WEEKDAY(C8,2)&gt;5,C$14="FEI")</formula>
    </cfRule>
    <cfRule type="expression" dxfId="2" priority="5">
      <formula>ISNUMBER(C8)</formula>
    </cfRule>
  </conditionalFormatting>
  <conditionalFormatting sqref="C10:AG11 C14:AG16">
    <cfRule type="expression" dxfId="1" priority="1">
      <formula>ISNUMBER(C$9)</formula>
    </cfRule>
  </conditionalFormatting>
  <conditionalFormatting sqref="C10:AG16">
    <cfRule type="expression" dxfId="0" priority="3">
      <formula>OR(WEEKDAY(C$9,2)&gt;5,C$14="FEI")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13C9-CB43-4658-B12B-B7C07B0A0B59}">
  <dimension ref="A1:I22"/>
  <sheetViews>
    <sheetView workbookViewId="0">
      <selection sqref="A1:AD2"/>
    </sheetView>
  </sheetViews>
  <sheetFormatPr defaultRowHeight="14.5" x14ac:dyDescent="0.35"/>
  <cols>
    <col min="1" max="9" width="27.1796875" customWidth="1"/>
  </cols>
  <sheetData>
    <row r="1" spans="1:9" x14ac:dyDescent="0.35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 x14ac:dyDescent="0.3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</row>
    <row r="5" spans="1:9" x14ac:dyDescent="0.3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</row>
    <row r="6" spans="1:9" x14ac:dyDescent="0.35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</row>
    <row r="7" spans="1:9" x14ac:dyDescent="0.35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</row>
    <row r="8" spans="1:9" x14ac:dyDescent="0.35">
      <c r="A8" s="3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3" t="s">
        <v>63</v>
      </c>
    </row>
    <row r="9" spans="1:9" x14ac:dyDescent="0.35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72</v>
      </c>
    </row>
    <row r="10" spans="1:9" x14ac:dyDescent="0.35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80</v>
      </c>
      <c r="I10" s="3" t="s">
        <v>81</v>
      </c>
    </row>
    <row r="11" spans="1:9" x14ac:dyDescent="0.35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87</v>
      </c>
      <c r="G11" s="3" t="s">
        <v>88</v>
      </c>
      <c r="H11" s="3" t="s">
        <v>89</v>
      </c>
      <c r="I11" s="3" t="s">
        <v>90</v>
      </c>
    </row>
    <row r="12" spans="1:9" x14ac:dyDescent="0.35">
      <c r="A12" s="3" t="s">
        <v>91</v>
      </c>
      <c r="B12" s="3" t="s">
        <v>92</v>
      </c>
      <c r="C12" s="3" t="s">
        <v>93</v>
      </c>
      <c r="D12" s="3" t="s">
        <v>94</v>
      </c>
      <c r="E12" s="3" t="s">
        <v>95</v>
      </c>
      <c r="F12" s="3" t="s">
        <v>96</v>
      </c>
      <c r="G12" s="3" t="s">
        <v>97</v>
      </c>
      <c r="H12" s="3" t="s">
        <v>98</v>
      </c>
      <c r="I12" s="3" t="s">
        <v>99</v>
      </c>
    </row>
    <row r="13" spans="1:9" x14ac:dyDescent="0.35">
      <c r="A13" s="3" t="s">
        <v>100</v>
      </c>
      <c r="B13" s="3" t="s">
        <v>101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106</v>
      </c>
      <c r="H13" s="3" t="s">
        <v>107</v>
      </c>
      <c r="I13" s="3" t="s">
        <v>108</v>
      </c>
    </row>
    <row r="14" spans="1:9" x14ac:dyDescent="0.35">
      <c r="A14" s="3" t="s">
        <v>109</v>
      </c>
      <c r="B14" s="3" t="s">
        <v>110</v>
      </c>
      <c r="C14" s="3" t="s">
        <v>111</v>
      </c>
      <c r="D14" s="3" t="s">
        <v>112</v>
      </c>
      <c r="E14" s="3" t="s">
        <v>113</v>
      </c>
      <c r="F14" s="3" t="s">
        <v>114</v>
      </c>
      <c r="G14" s="3" t="s">
        <v>115</v>
      </c>
      <c r="H14" s="3" t="s">
        <v>116</v>
      </c>
      <c r="I14" s="3" t="s">
        <v>117</v>
      </c>
    </row>
    <row r="15" spans="1:9" x14ac:dyDescent="0.35">
      <c r="A15" s="3" t="s">
        <v>118</v>
      </c>
      <c r="B15" s="3" t="s">
        <v>119</v>
      </c>
      <c r="C15" s="3" t="s">
        <v>120</v>
      </c>
      <c r="D15" s="3" t="s">
        <v>121</v>
      </c>
      <c r="E15" s="3" t="s">
        <v>122</v>
      </c>
      <c r="F15" s="3" t="s">
        <v>123</v>
      </c>
      <c r="G15" s="3" t="s">
        <v>124</v>
      </c>
      <c r="H15" s="3" t="s">
        <v>125</v>
      </c>
      <c r="I15" s="3" t="s">
        <v>126</v>
      </c>
    </row>
    <row r="16" spans="1:9" x14ac:dyDescent="0.35">
      <c r="A16" s="3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134</v>
      </c>
      <c r="I16" s="3" t="s">
        <v>135</v>
      </c>
    </row>
    <row r="17" spans="1:9" x14ac:dyDescent="0.35">
      <c r="A17" s="3" t="s">
        <v>136</v>
      </c>
      <c r="B17" s="3" t="s">
        <v>137</v>
      </c>
      <c r="C17" s="3" t="s">
        <v>138</v>
      </c>
      <c r="D17" s="3" t="s">
        <v>139</v>
      </c>
      <c r="E17" s="3" t="s">
        <v>140</v>
      </c>
      <c r="F17" s="3" t="s">
        <v>141</v>
      </c>
      <c r="G17" s="3" t="s">
        <v>142</v>
      </c>
      <c r="H17" s="3" t="s">
        <v>143</v>
      </c>
      <c r="I17" s="3" t="s">
        <v>144</v>
      </c>
    </row>
    <row r="18" spans="1:9" x14ac:dyDescent="0.35">
      <c r="A18" s="3" t="s">
        <v>145</v>
      </c>
      <c r="B18" s="3" t="s">
        <v>146</v>
      </c>
      <c r="C18" s="3" t="s">
        <v>147</v>
      </c>
      <c r="D18" s="3" t="s">
        <v>148</v>
      </c>
      <c r="E18" s="3" t="s">
        <v>149</v>
      </c>
      <c r="F18" s="3" t="s">
        <v>150</v>
      </c>
      <c r="G18" s="3" t="s">
        <v>151</v>
      </c>
      <c r="H18" s="3" t="s">
        <v>152</v>
      </c>
      <c r="I18" s="3" t="s">
        <v>153</v>
      </c>
    </row>
    <row r="19" spans="1:9" x14ac:dyDescent="0.35">
      <c r="A19" s="3" t="s">
        <v>154</v>
      </c>
      <c r="B19" s="3" t="s">
        <v>155</v>
      </c>
      <c r="C19" s="3" t="s">
        <v>156</v>
      </c>
      <c r="D19" s="3" t="s">
        <v>157</v>
      </c>
      <c r="E19" s="3" t="s">
        <v>158</v>
      </c>
      <c r="F19" s="3" t="s">
        <v>159</v>
      </c>
      <c r="G19" s="3" t="s">
        <v>160</v>
      </c>
      <c r="H19" s="3" t="s">
        <v>161</v>
      </c>
      <c r="I19" s="3" t="s">
        <v>162</v>
      </c>
    </row>
    <row r="20" spans="1:9" x14ac:dyDescent="0.35">
      <c r="A20" s="3" t="s">
        <v>163</v>
      </c>
      <c r="B20" s="3" t="s">
        <v>164</v>
      </c>
      <c r="C20" s="3" t="s">
        <v>165</v>
      </c>
      <c r="D20" s="3" t="s">
        <v>166</v>
      </c>
      <c r="E20" s="3" t="s">
        <v>167</v>
      </c>
      <c r="F20" s="3" t="s">
        <v>168</v>
      </c>
      <c r="G20" s="3" t="s">
        <v>169</v>
      </c>
      <c r="H20" s="3" t="s">
        <v>170</v>
      </c>
      <c r="I20" s="3" t="s">
        <v>171</v>
      </c>
    </row>
    <row r="21" spans="1:9" x14ac:dyDescent="0.35">
      <c r="A21" s="3" t="s">
        <v>172</v>
      </c>
      <c r="B21" s="3" t="s">
        <v>173</v>
      </c>
      <c r="C21" s="3" t="s">
        <v>174</v>
      </c>
      <c r="D21" s="3" t="s">
        <v>175</v>
      </c>
      <c r="E21" s="3" t="s">
        <v>176</v>
      </c>
      <c r="F21" s="3" t="s">
        <v>177</v>
      </c>
      <c r="G21" s="3" t="s">
        <v>178</v>
      </c>
      <c r="H21" s="3" t="s">
        <v>179</v>
      </c>
      <c r="I21" s="3" t="s">
        <v>180</v>
      </c>
    </row>
    <row r="22" spans="1:9" x14ac:dyDescent="0.35">
      <c r="A22" s="3" t="s">
        <v>181</v>
      </c>
      <c r="B22" s="3" t="s">
        <v>182</v>
      </c>
      <c r="C22" s="3" t="s">
        <v>183</v>
      </c>
      <c r="D22" s="3" t="s">
        <v>184</v>
      </c>
      <c r="E22" s="3" t="s">
        <v>185</v>
      </c>
      <c r="F22" s="3" t="s">
        <v>186</v>
      </c>
      <c r="G22" s="3" t="s">
        <v>187</v>
      </c>
      <c r="H22" s="3" t="s">
        <v>188</v>
      </c>
      <c r="I22" s="3" t="s">
        <v>189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8CBA-96C4-4C5B-9141-D18852C90BF8}">
  <dimension ref="A1:D779"/>
  <sheetViews>
    <sheetView workbookViewId="0"/>
  </sheetViews>
  <sheetFormatPr defaultRowHeight="14.5" x14ac:dyDescent="0.35"/>
  <cols>
    <col min="1" max="3" width="18.1796875" customWidth="1"/>
    <col min="4" max="4" width="28.1796875" customWidth="1"/>
  </cols>
  <sheetData>
    <row r="1" spans="1:4" x14ac:dyDescent="0.35">
      <c r="A1" s="2" t="s">
        <v>190</v>
      </c>
      <c r="B1" s="1"/>
      <c r="C1" s="1"/>
      <c r="D1" s="1"/>
    </row>
    <row r="2" spans="1:4" x14ac:dyDescent="0.35">
      <c r="A2" s="1" t="s">
        <v>8168</v>
      </c>
      <c r="B2" s="1" t="s">
        <v>192</v>
      </c>
      <c r="C2" s="1" t="s">
        <v>193</v>
      </c>
      <c r="D2" s="1" t="s">
        <v>194</v>
      </c>
    </row>
    <row r="3" spans="1:4" x14ac:dyDescent="0.35">
      <c r="A3" s="3" t="s">
        <v>8170</v>
      </c>
      <c r="B3" s="3" t="s">
        <v>8984</v>
      </c>
      <c r="C3" s="3" t="str">
        <f>IF($A3&lt;&gt;"",$B3&amp;"-"&amp;$A3,"")</f>
        <v>{jsdata.months[0].absences[0].absenceType}-{jsdata.months[0].month}</v>
      </c>
      <c r="D3" s="3" t="s">
        <v>8171</v>
      </c>
    </row>
    <row r="4" spans="1:4" x14ac:dyDescent="0.35">
      <c r="A4" s="3" t="s">
        <v>8170</v>
      </c>
      <c r="B4" s="3" t="s">
        <v>8985</v>
      </c>
      <c r="C4" s="3" t="str">
        <f t="shared" ref="C4:C67" si="0">IF($A4&lt;&gt;"",$B4&amp;"-"&amp;$A4,"")</f>
        <v>{jsdata.months[0].absences[1].absenceType}-{jsdata.months[0].month}</v>
      </c>
      <c r="D4" s="3" t="s">
        <v>8172</v>
      </c>
    </row>
    <row r="5" spans="1:4" x14ac:dyDescent="0.35">
      <c r="A5" s="3" t="s">
        <v>8170</v>
      </c>
      <c r="B5" s="3" t="s">
        <v>8986</v>
      </c>
      <c r="C5" s="3" t="str">
        <f t="shared" si="0"/>
        <v>{jsdata.months[0].absences[2].absenceType}-{jsdata.months[0].month}</v>
      </c>
      <c r="D5" s="3" t="s">
        <v>8173</v>
      </c>
    </row>
    <row r="6" spans="1:4" x14ac:dyDescent="0.35">
      <c r="A6" s="3" t="s">
        <v>8170</v>
      </c>
      <c r="B6" s="3" t="s">
        <v>8987</v>
      </c>
      <c r="C6" s="3" t="str">
        <f t="shared" si="0"/>
        <v>{jsdata.months[0].absences[3].absenceType}-{jsdata.months[0].month}</v>
      </c>
      <c r="D6" s="3" t="s">
        <v>8174</v>
      </c>
    </row>
    <row r="7" spans="1:4" x14ac:dyDescent="0.35">
      <c r="A7" s="3" t="s">
        <v>8170</v>
      </c>
      <c r="B7" s="3" t="s">
        <v>8988</v>
      </c>
      <c r="C7" s="3" t="str">
        <f t="shared" si="0"/>
        <v>{jsdata.months[0].absences[4].absenceType}-{jsdata.months[0].month}</v>
      </c>
      <c r="D7" s="3" t="s">
        <v>8175</v>
      </c>
    </row>
    <row r="8" spans="1:4" x14ac:dyDescent="0.35">
      <c r="A8" s="3" t="s">
        <v>8170</v>
      </c>
      <c r="B8" s="3" t="s">
        <v>8989</v>
      </c>
      <c r="C8" s="3" t="str">
        <f t="shared" si="0"/>
        <v>{jsdata.months[0].absences[5].absenceType}-{jsdata.months[0].month}</v>
      </c>
      <c r="D8" s="3" t="s">
        <v>8176</v>
      </c>
    </row>
    <row r="9" spans="1:4" x14ac:dyDescent="0.35">
      <c r="A9" s="3" t="s">
        <v>8170</v>
      </c>
      <c r="B9" s="3" t="s">
        <v>8990</v>
      </c>
      <c r="C9" s="3" t="str">
        <f t="shared" si="0"/>
        <v>{jsdata.months[0].absences[6].absenceType}-{jsdata.months[0].month}</v>
      </c>
      <c r="D9" s="3" t="s">
        <v>8177</v>
      </c>
    </row>
    <row r="10" spans="1:4" x14ac:dyDescent="0.35">
      <c r="A10" s="3" t="s">
        <v>8170</v>
      </c>
      <c r="B10" s="3" t="s">
        <v>8991</v>
      </c>
      <c r="C10" s="3" t="str">
        <f t="shared" si="0"/>
        <v>{jsdata.months[0].absences[7].absenceType}-{jsdata.months[0].month}</v>
      </c>
      <c r="D10" s="3" t="s">
        <v>8178</v>
      </c>
    </row>
    <row r="11" spans="1:4" x14ac:dyDescent="0.35">
      <c r="A11" s="3" t="s">
        <v>8170</v>
      </c>
      <c r="B11" s="3" t="s">
        <v>8992</v>
      </c>
      <c r="C11" s="3" t="str">
        <f t="shared" si="0"/>
        <v>{jsdata.months[0].absences[8].absenceType}-{jsdata.months[0].month}</v>
      </c>
      <c r="D11" s="3" t="s">
        <v>8179</v>
      </c>
    </row>
    <row r="12" spans="1:4" x14ac:dyDescent="0.35">
      <c r="A12" s="3" t="s">
        <v>8170</v>
      </c>
      <c r="B12" s="3" t="s">
        <v>8993</v>
      </c>
      <c r="C12" s="3" t="str">
        <f t="shared" si="0"/>
        <v>{jsdata.months[0].absences[9].absenceType}-{jsdata.months[0].month}</v>
      </c>
      <c r="D12" s="3" t="s">
        <v>8180</v>
      </c>
    </row>
    <row r="13" spans="1:4" x14ac:dyDescent="0.35">
      <c r="A13" s="3" t="s">
        <v>8170</v>
      </c>
      <c r="B13" s="3" t="s">
        <v>8994</v>
      </c>
      <c r="C13" s="3" t="str">
        <f t="shared" si="0"/>
        <v>{jsdata.months[0].absences[10].absenceType}-{jsdata.months[0].month}</v>
      </c>
      <c r="D13" s="3" t="s">
        <v>8181</v>
      </c>
    </row>
    <row r="14" spans="1:4" x14ac:dyDescent="0.35">
      <c r="A14" s="3" t="s">
        <v>8170</v>
      </c>
      <c r="B14" s="3" t="s">
        <v>8995</v>
      </c>
      <c r="C14" s="3" t="str">
        <f t="shared" si="0"/>
        <v>{jsdata.months[0].absences[11].absenceType}-{jsdata.months[0].month}</v>
      </c>
      <c r="D14" s="3" t="s">
        <v>8182</v>
      </c>
    </row>
    <row r="15" spans="1:4" x14ac:dyDescent="0.35">
      <c r="A15" s="3" t="s">
        <v>8170</v>
      </c>
      <c r="B15" s="3" t="s">
        <v>8996</v>
      </c>
      <c r="C15" s="3" t="str">
        <f t="shared" si="0"/>
        <v>{jsdata.months[0].absences[12].absenceType}-{jsdata.months[0].month}</v>
      </c>
      <c r="D15" s="3" t="s">
        <v>8183</v>
      </c>
    </row>
    <row r="16" spans="1:4" x14ac:dyDescent="0.35">
      <c r="A16" s="3" t="s">
        <v>8170</v>
      </c>
      <c r="B16" s="3" t="s">
        <v>8997</v>
      </c>
      <c r="C16" s="3" t="str">
        <f t="shared" si="0"/>
        <v>{jsdata.months[0].absences[13].absenceType}-{jsdata.months[0].month}</v>
      </c>
      <c r="D16" s="3" t="s">
        <v>8184</v>
      </c>
    </row>
    <row r="17" spans="1:4" x14ac:dyDescent="0.35">
      <c r="A17" s="3" t="s">
        <v>8170</v>
      </c>
      <c r="B17" s="3" t="s">
        <v>8998</v>
      </c>
      <c r="C17" s="3" t="str">
        <f t="shared" si="0"/>
        <v>{jsdata.months[0].absences[14].absenceType}-{jsdata.months[0].month}</v>
      </c>
      <c r="D17" s="3" t="s">
        <v>8185</v>
      </c>
    </row>
    <row r="18" spans="1:4" x14ac:dyDescent="0.35">
      <c r="A18" s="3" t="s">
        <v>8170</v>
      </c>
      <c r="B18" s="3" t="s">
        <v>8999</v>
      </c>
      <c r="C18" s="3" t="str">
        <f t="shared" si="0"/>
        <v>{jsdata.months[0].absences[15].absenceType}-{jsdata.months[0].month}</v>
      </c>
      <c r="D18" s="3" t="s">
        <v>8186</v>
      </c>
    </row>
    <row r="19" spans="1:4" x14ac:dyDescent="0.35">
      <c r="A19" s="3" t="s">
        <v>8170</v>
      </c>
      <c r="B19" s="3" t="s">
        <v>9000</v>
      </c>
      <c r="C19" s="3" t="str">
        <f t="shared" si="0"/>
        <v>{jsdata.months[0].absences[16].absenceType}-{jsdata.months[0].month}</v>
      </c>
      <c r="D19" s="3" t="s">
        <v>8187</v>
      </c>
    </row>
    <row r="20" spans="1:4" x14ac:dyDescent="0.35">
      <c r="A20" s="3" t="s">
        <v>8170</v>
      </c>
      <c r="B20" s="3" t="s">
        <v>9001</v>
      </c>
      <c r="C20" s="3" t="str">
        <f t="shared" si="0"/>
        <v>{jsdata.months[0].absences[17].absenceType}-{jsdata.months[0].month}</v>
      </c>
      <c r="D20" s="3" t="s">
        <v>8188</v>
      </c>
    </row>
    <row r="21" spans="1:4" x14ac:dyDescent="0.35">
      <c r="A21" s="3" t="s">
        <v>8170</v>
      </c>
      <c r="B21" s="3" t="s">
        <v>9002</v>
      </c>
      <c r="C21" s="3" t="str">
        <f t="shared" si="0"/>
        <v>{jsdata.months[0].absences[18].absenceType}-{jsdata.months[0].month}</v>
      </c>
      <c r="D21" s="3" t="s">
        <v>8189</v>
      </c>
    </row>
    <row r="22" spans="1:4" x14ac:dyDescent="0.35">
      <c r="A22" s="3" t="s">
        <v>8170</v>
      </c>
      <c r="B22" s="3" t="s">
        <v>9003</v>
      </c>
      <c r="C22" s="3" t="str">
        <f t="shared" si="0"/>
        <v>{jsdata.months[0].absences[19].absenceType}-{jsdata.months[0].month}</v>
      </c>
      <c r="D22" s="3" t="s">
        <v>8190</v>
      </c>
    </row>
    <row r="23" spans="1:4" x14ac:dyDescent="0.35">
      <c r="A23" s="3" t="s">
        <v>8170</v>
      </c>
      <c r="B23" s="3" t="s">
        <v>9724</v>
      </c>
      <c r="C23" s="3" t="str">
        <f t="shared" si="0"/>
        <v>ResourcePresenceTimeSaldo-{jsdata.months[0].month}</v>
      </c>
      <c r="D23" s="3" t="s">
        <v>8191</v>
      </c>
    </row>
    <row r="24" spans="1:4" x14ac:dyDescent="0.35">
      <c r="A24" s="3" t="s">
        <v>8192</v>
      </c>
      <c r="B24" s="3" t="s">
        <v>9004</v>
      </c>
      <c r="C24" s="3" t="str">
        <f t="shared" si="0"/>
        <v>{jsdata.months[1].absences[0].absenceType}-{jsdata.months[1].month}</v>
      </c>
      <c r="D24" s="3" t="s">
        <v>8193</v>
      </c>
    </row>
    <row r="25" spans="1:4" x14ac:dyDescent="0.35">
      <c r="A25" s="3" t="s">
        <v>8192</v>
      </c>
      <c r="B25" s="3" t="s">
        <v>9005</v>
      </c>
      <c r="C25" s="3" t="str">
        <f t="shared" si="0"/>
        <v>{jsdata.months[1].absences[1].absenceType}-{jsdata.months[1].month}</v>
      </c>
      <c r="D25" s="3" t="s">
        <v>8194</v>
      </c>
    </row>
    <row r="26" spans="1:4" x14ac:dyDescent="0.35">
      <c r="A26" s="3" t="s">
        <v>8192</v>
      </c>
      <c r="B26" s="3" t="s">
        <v>9006</v>
      </c>
      <c r="C26" s="3" t="str">
        <f t="shared" si="0"/>
        <v>{jsdata.months[1].absences[2].absenceType}-{jsdata.months[1].month}</v>
      </c>
      <c r="D26" s="3" t="s">
        <v>8195</v>
      </c>
    </row>
    <row r="27" spans="1:4" x14ac:dyDescent="0.35">
      <c r="A27" s="3" t="s">
        <v>8192</v>
      </c>
      <c r="B27" s="3" t="s">
        <v>9007</v>
      </c>
      <c r="C27" s="3" t="str">
        <f t="shared" si="0"/>
        <v>{jsdata.months[1].absences[3].absenceType}-{jsdata.months[1].month}</v>
      </c>
      <c r="D27" s="3" t="s">
        <v>8196</v>
      </c>
    </row>
    <row r="28" spans="1:4" x14ac:dyDescent="0.35">
      <c r="A28" s="3" t="s">
        <v>8192</v>
      </c>
      <c r="B28" s="3" t="s">
        <v>9008</v>
      </c>
      <c r="C28" s="3" t="str">
        <f t="shared" si="0"/>
        <v>{jsdata.months[1].absences[4].absenceType}-{jsdata.months[1].month}</v>
      </c>
      <c r="D28" s="3" t="s">
        <v>8197</v>
      </c>
    </row>
    <row r="29" spans="1:4" x14ac:dyDescent="0.35">
      <c r="A29" s="3" t="s">
        <v>8192</v>
      </c>
      <c r="B29" s="3" t="s">
        <v>9009</v>
      </c>
      <c r="C29" s="3" t="str">
        <f t="shared" si="0"/>
        <v>{jsdata.months[1].absences[5].absenceType}-{jsdata.months[1].month}</v>
      </c>
      <c r="D29" s="3" t="s">
        <v>8198</v>
      </c>
    </row>
    <row r="30" spans="1:4" x14ac:dyDescent="0.35">
      <c r="A30" s="3" t="s">
        <v>8192</v>
      </c>
      <c r="B30" s="3" t="s">
        <v>9010</v>
      </c>
      <c r="C30" s="3" t="str">
        <f t="shared" si="0"/>
        <v>{jsdata.months[1].absences[6].absenceType}-{jsdata.months[1].month}</v>
      </c>
      <c r="D30" s="3" t="s">
        <v>8199</v>
      </c>
    </row>
    <row r="31" spans="1:4" x14ac:dyDescent="0.35">
      <c r="A31" s="3" t="s">
        <v>8192</v>
      </c>
      <c r="B31" s="3" t="s">
        <v>9011</v>
      </c>
      <c r="C31" s="3" t="str">
        <f t="shared" si="0"/>
        <v>{jsdata.months[1].absences[7].absenceType}-{jsdata.months[1].month}</v>
      </c>
      <c r="D31" s="3" t="s">
        <v>8200</v>
      </c>
    </row>
    <row r="32" spans="1:4" x14ac:dyDescent="0.35">
      <c r="A32" s="3" t="s">
        <v>8192</v>
      </c>
      <c r="B32" s="3" t="s">
        <v>9012</v>
      </c>
      <c r="C32" s="3" t="str">
        <f t="shared" si="0"/>
        <v>{jsdata.months[1].absences[8].absenceType}-{jsdata.months[1].month}</v>
      </c>
      <c r="D32" s="3" t="s">
        <v>8201</v>
      </c>
    </row>
    <row r="33" spans="1:4" x14ac:dyDescent="0.35">
      <c r="A33" s="3" t="s">
        <v>8192</v>
      </c>
      <c r="B33" s="3" t="s">
        <v>9013</v>
      </c>
      <c r="C33" s="3" t="str">
        <f t="shared" si="0"/>
        <v>{jsdata.months[1].absences[9].absenceType}-{jsdata.months[1].month}</v>
      </c>
      <c r="D33" s="3" t="s">
        <v>8202</v>
      </c>
    </row>
    <row r="34" spans="1:4" x14ac:dyDescent="0.35">
      <c r="A34" s="3" t="s">
        <v>8192</v>
      </c>
      <c r="B34" s="3" t="s">
        <v>9014</v>
      </c>
      <c r="C34" s="3" t="str">
        <f t="shared" si="0"/>
        <v>{jsdata.months[1].absences[10].absenceType}-{jsdata.months[1].month}</v>
      </c>
      <c r="D34" s="3" t="s">
        <v>8203</v>
      </c>
    </row>
    <row r="35" spans="1:4" x14ac:dyDescent="0.35">
      <c r="A35" s="3" t="s">
        <v>8192</v>
      </c>
      <c r="B35" s="3" t="s">
        <v>9015</v>
      </c>
      <c r="C35" s="3" t="str">
        <f t="shared" si="0"/>
        <v>{jsdata.months[1].absences[11].absenceType}-{jsdata.months[1].month}</v>
      </c>
      <c r="D35" s="3" t="s">
        <v>8204</v>
      </c>
    </row>
    <row r="36" spans="1:4" x14ac:dyDescent="0.35">
      <c r="A36" s="3" t="s">
        <v>8192</v>
      </c>
      <c r="B36" s="3" t="s">
        <v>9016</v>
      </c>
      <c r="C36" s="3" t="str">
        <f t="shared" si="0"/>
        <v>{jsdata.months[1].absences[12].absenceType}-{jsdata.months[1].month}</v>
      </c>
      <c r="D36" s="3" t="s">
        <v>8205</v>
      </c>
    </row>
    <row r="37" spans="1:4" x14ac:dyDescent="0.35">
      <c r="A37" s="3" t="s">
        <v>8192</v>
      </c>
      <c r="B37" s="3" t="s">
        <v>9017</v>
      </c>
      <c r="C37" s="3" t="str">
        <f t="shared" si="0"/>
        <v>{jsdata.months[1].absences[13].absenceType}-{jsdata.months[1].month}</v>
      </c>
      <c r="D37" s="3" t="s">
        <v>8206</v>
      </c>
    </row>
    <row r="38" spans="1:4" x14ac:dyDescent="0.35">
      <c r="A38" s="3" t="s">
        <v>8192</v>
      </c>
      <c r="B38" s="3" t="s">
        <v>9018</v>
      </c>
      <c r="C38" s="3" t="str">
        <f t="shared" si="0"/>
        <v>{jsdata.months[1].absences[14].absenceType}-{jsdata.months[1].month}</v>
      </c>
      <c r="D38" s="3" t="s">
        <v>8207</v>
      </c>
    </row>
    <row r="39" spans="1:4" x14ac:dyDescent="0.35">
      <c r="A39" s="3" t="s">
        <v>8192</v>
      </c>
      <c r="B39" s="3" t="s">
        <v>9019</v>
      </c>
      <c r="C39" s="3" t="str">
        <f t="shared" si="0"/>
        <v>{jsdata.months[1].absences[15].absenceType}-{jsdata.months[1].month}</v>
      </c>
      <c r="D39" s="3" t="s">
        <v>8208</v>
      </c>
    </row>
    <row r="40" spans="1:4" x14ac:dyDescent="0.35">
      <c r="A40" s="3" t="s">
        <v>8192</v>
      </c>
      <c r="B40" s="3" t="s">
        <v>9020</v>
      </c>
      <c r="C40" s="3" t="str">
        <f t="shared" si="0"/>
        <v>{jsdata.months[1].absences[16].absenceType}-{jsdata.months[1].month}</v>
      </c>
      <c r="D40" s="3" t="s">
        <v>8209</v>
      </c>
    </row>
    <row r="41" spans="1:4" x14ac:dyDescent="0.35">
      <c r="A41" s="3" t="s">
        <v>8192</v>
      </c>
      <c r="B41" s="3" t="s">
        <v>9021</v>
      </c>
      <c r="C41" s="3" t="str">
        <f t="shared" si="0"/>
        <v>{jsdata.months[1].absences[17].absenceType}-{jsdata.months[1].month}</v>
      </c>
      <c r="D41" s="3" t="s">
        <v>8210</v>
      </c>
    </row>
    <row r="42" spans="1:4" x14ac:dyDescent="0.35">
      <c r="A42" s="3" t="s">
        <v>8192</v>
      </c>
      <c r="B42" s="3" t="s">
        <v>9022</v>
      </c>
      <c r="C42" s="3" t="str">
        <f t="shared" si="0"/>
        <v>{jsdata.months[1].absences[18].absenceType}-{jsdata.months[1].month}</v>
      </c>
      <c r="D42" s="3" t="s">
        <v>8211</v>
      </c>
    </row>
    <row r="43" spans="1:4" x14ac:dyDescent="0.35">
      <c r="A43" s="3" t="s">
        <v>8192</v>
      </c>
      <c r="B43" s="3" t="s">
        <v>9023</v>
      </c>
      <c r="C43" s="3" t="str">
        <f t="shared" si="0"/>
        <v>{jsdata.months[1].absences[19].absenceType}-{jsdata.months[1].month}</v>
      </c>
      <c r="D43" s="3" t="s">
        <v>8212</v>
      </c>
    </row>
    <row r="44" spans="1:4" x14ac:dyDescent="0.35">
      <c r="A44" s="3" t="s">
        <v>8192</v>
      </c>
      <c r="B44" s="3" t="s">
        <v>9724</v>
      </c>
      <c r="C44" s="3" t="str">
        <f t="shared" si="0"/>
        <v>ResourcePresenceTimeSaldo-{jsdata.months[1].month}</v>
      </c>
      <c r="D44" s="3" t="s">
        <v>8213</v>
      </c>
    </row>
    <row r="45" spans="1:4" x14ac:dyDescent="0.35">
      <c r="A45" s="3" t="s">
        <v>8214</v>
      </c>
      <c r="B45" s="3" t="s">
        <v>9024</v>
      </c>
      <c r="C45" s="3" t="str">
        <f t="shared" si="0"/>
        <v>{jsdata.months[2].absences[0].absenceType}-{jsdata.months[2].month}</v>
      </c>
      <c r="D45" s="3" t="s">
        <v>8215</v>
      </c>
    </row>
    <row r="46" spans="1:4" x14ac:dyDescent="0.35">
      <c r="A46" s="3" t="s">
        <v>8214</v>
      </c>
      <c r="B46" s="3" t="s">
        <v>9025</v>
      </c>
      <c r="C46" s="3" t="str">
        <f t="shared" si="0"/>
        <v>{jsdata.months[2].absences[1].absenceType}-{jsdata.months[2].month}</v>
      </c>
      <c r="D46" s="3" t="s">
        <v>8216</v>
      </c>
    </row>
    <row r="47" spans="1:4" x14ac:dyDescent="0.35">
      <c r="A47" s="3" t="s">
        <v>8214</v>
      </c>
      <c r="B47" s="3" t="s">
        <v>9026</v>
      </c>
      <c r="C47" s="3" t="str">
        <f t="shared" si="0"/>
        <v>{jsdata.months[2].absences[2].absenceType}-{jsdata.months[2].month}</v>
      </c>
      <c r="D47" s="3" t="s">
        <v>8217</v>
      </c>
    </row>
    <row r="48" spans="1:4" x14ac:dyDescent="0.35">
      <c r="A48" s="3" t="s">
        <v>8214</v>
      </c>
      <c r="B48" s="3" t="s">
        <v>9027</v>
      </c>
      <c r="C48" s="3" t="str">
        <f t="shared" si="0"/>
        <v>{jsdata.months[2].absences[3].absenceType}-{jsdata.months[2].month}</v>
      </c>
      <c r="D48" s="3" t="s">
        <v>8218</v>
      </c>
    </row>
    <row r="49" spans="1:4" x14ac:dyDescent="0.35">
      <c r="A49" s="3" t="s">
        <v>8214</v>
      </c>
      <c r="B49" s="3" t="s">
        <v>9028</v>
      </c>
      <c r="C49" s="3" t="str">
        <f t="shared" si="0"/>
        <v>{jsdata.months[2].absences[4].absenceType}-{jsdata.months[2].month}</v>
      </c>
      <c r="D49" s="3" t="s">
        <v>8219</v>
      </c>
    </row>
    <row r="50" spans="1:4" x14ac:dyDescent="0.35">
      <c r="A50" s="3" t="s">
        <v>8214</v>
      </c>
      <c r="B50" s="3" t="s">
        <v>9029</v>
      </c>
      <c r="C50" s="3" t="str">
        <f t="shared" si="0"/>
        <v>{jsdata.months[2].absences[5].absenceType}-{jsdata.months[2].month}</v>
      </c>
      <c r="D50" s="3" t="s">
        <v>8220</v>
      </c>
    </row>
    <row r="51" spans="1:4" x14ac:dyDescent="0.35">
      <c r="A51" s="3" t="s">
        <v>8214</v>
      </c>
      <c r="B51" s="3" t="s">
        <v>9030</v>
      </c>
      <c r="C51" s="3" t="str">
        <f t="shared" si="0"/>
        <v>{jsdata.months[2].absences[6].absenceType}-{jsdata.months[2].month}</v>
      </c>
      <c r="D51" s="3" t="s">
        <v>8221</v>
      </c>
    </row>
    <row r="52" spans="1:4" x14ac:dyDescent="0.35">
      <c r="A52" s="3" t="s">
        <v>8214</v>
      </c>
      <c r="B52" s="3" t="s">
        <v>9031</v>
      </c>
      <c r="C52" s="3" t="str">
        <f t="shared" si="0"/>
        <v>{jsdata.months[2].absences[7].absenceType}-{jsdata.months[2].month}</v>
      </c>
      <c r="D52" s="3" t="s">
        <v>8222</v>
      </c>
    </row>
    <row r="53" spans="1:4" x14ac:dyDescent="0.35">
      <c r="A53" s="3" t="s">
        <v>8214</v>
      </c>
      <c r="B53" s="3" t="s">
        <v>9032</v>
      </c>
      <c r="C53" s="3" t="str">
        <f t="shared" si="0"/>
        <v>{jsdata.months[2].absences[8].absenceType}-{jsdata.months[2].month}</v>
      </c>
      <c r="D53" s="3" t="s">
        <v>8223</v>
      </c>
    </row>
    <row r="54" spans="1:4" x14ac:dyDescent="0.35">
      <c r="A54" s="3" t="s">
        <v>8214</v>
      </c>
      <c r="B54" s="3" t="s">
        <v>9033</v>
      </c>
      <c r="C54" s="3" t="str">
        <f t="shared" si="0"/>
        <v>{jsdata.months[2].absences[9].absenceType}-{jsdata.months[2].month}</v>
      </c>
      <c r="D54" s="3" t="s">
        <v>8224</v>
      </c>
    </row>
    <row r="55" spans="1:4" x14ac:dyDescent="0.35">
      <c r="A55" s="3" t="s">
        <v>8214</v>
      </c>
      <c r="B55" s="3" t="s">
        <v>9034</v>
      </c>
      <c r="C55" s="3" t="str">
        <f t="shared" si="0"/>
        <v>{jsdata.months[2].absences[10].absenceType}-{jsdata.months[2].month}</v>
      </c>
      <c r="D55" s="3" t="s">
        <v>8225</v>
      </c>
    </row>
    <row r="56" spans="1:4" x14ac:dyDescent="0.35">
      <c r="A56" s="3" t="s">
        <v>8214</v>
      </c>
      <c r="B56" s="3" t="s">
        <v>9035</v>
      </c>
      <c r="C56" s="3" t="str">
        <f t="shared" si="0"/>
        <v>{jsdata.months[2].absences[11].absenceType}-{jsdata.months[2].month}</v>
      </c>
      <c r="D56" s="3" t="s">
        <v>8226</v>
      </c>
    </row>
    <row r="57" spans="1:4" x14ac:dyDescent="0.35">
      <c r="A57" s="3" t="s">
        <v>8214</v>
      </c>
      <c r="B57" s="3" t="s">
        <v>9036</v>
      </c>
      <c r="C57" s="3" t="str">
        <f t="shared" si="0"/>
        <v>{jsdata.months[2].absences[12].absenceType}-{jsdata.months[2].month}</v>
      </c>
      <c r="D57" s="3" t="s">
        <v>8227</v>
      </c>
    </row>
    <row r="58" spans="1:4" x14ac:dyDescent="0.35">
      <c r="A58" s="3" t="s">
        <v>8214</v>
      </c>
      <c r="B58" s="3" t="s">
        <v>9037</v>
      </c>
      <c r="C58" s="3" t="str">
        <f t="shared" si="0"/>
        <v>{jsdata.months[2].absences[13].absenceType}-{jsdata.months[2].month}</v>
      </c>
      <c r="D58" s="3" t="s">
        <v>8228</v>
      </c>
    </row>
    <row r="59" spans="1:4" x14ac:dyDescent="0.35">
      <c r="A59" s="3" t="s">
        <v>8214</v>
      </c>
      <c r="B59" s="3" t="s">
        <v>9038</v>
      </c>
      <c r="C59" s="3" t="str">
        <f t="shared" si="0"/>
        <v>{jsdata.months[2].absences[14].absenceType}-{jsdata.months[2].month}</v>
      </c>
      <c r="D59" s="3" t="s">
        <v>8229</v>
      </c>
    </row>
    <row r="60" spans="1:4" x14ac:dyDescent="0.35">
      <c r="A60" s="3" t="s">
        <v>8214</v>
      </c>
      <c r="B60" s="3" t="s">
        <v>9039</v>
      </c>
      <c r="C60" s="3" t="str">
        <f t="shared" si="0"/>
        <v>{jsdata.months[2].absences[15].absenceType}-{jsdata.months[2].month}</v>
      </c>
      <c r="D60" s="3" t="s">
        <v>8230</v>
      </c>
    </row>
    <row r="61" spans="1:4" x14ac:dyDescent="0.35">
      <c r="A61" s="3" t="s">
        <v>8214</v>
      </c>
      <c r="B61" s="3" t="s">
        <v>9040</v>
      </c>
      <c r="C61" s="3" t="str">
        <f t="shared" si="0"/>
        <v>{jsdata.months[2].absences[16].absenceType}-{jsdata.months[2].month}</v>
      </c>
      <c r="D61" s="3" t="s">
        <v>8231</v>
      </c>
    </row>
    <row r="62" spans="1:4" x14ac:dyDescent="0.35">
      <c r="A62" s="3" t="s">
        <v>8214</v>
      </c>
      <c r="B62" s="3" t="s">
        <v>9041</v>
      </c>
      <c r="C62" s="3" t="str">
        <f t="shared" si="0"/>
        <v>{jsdata.months[2].absences[17].absenceType}-{jsdata.months[2].month}</v>
      </c>
      <c r="D62" s="3" t="s">
        <v>8232</v>
      </c>
    </row>
    <row r="63" spans="1:4" x14ac:dyDescent="0.35">
      <c r="A63" s="3" t="s">
        <v>8214</v>
      </c>
      <c r="B63" s="3" t="s">
        <v>9042</v>
      </c>
      <c r="C63" s="3" t="str">
        <f t="shared" si="0"/>
        <v>{jsdata.months[2].absences[18].absenceType}-{jsdata.months[2].month}</v>
      </c>
      <c r="D63" s="3" t="s">
        <v>8233</v>
      </c>
    </row>
    <row r="64" spans="1:4" x14ac:dyDescent="0.35">
      <c r="A64" s="3" t="s">
        <v>8214</v>
      </c>
      <c r="B64" s="3" t="s">
        <v>9043</v>
      </c>
      <c r="C64" s="3" t="str">
        <f t="shared" si="0"/>
        <v>{jsdata.months[2].absences[19].absenceType}-{jsdata.months[2].month}</v>
      </c>
      <c r="D64" s="3" t="s">
        <v>8234</v>
      </c>
    </row>
    <row r="65" spans="1:4" x14ac:dyDescent="0.35">
      <c r="A65" s="3" t="s">
        <v>8214</v>
      </c>
      <c r="B65" s="3" t="s">
        <v>9724</v>
      </c>
      <c r="C65" s="3" t="str">
        <f t="shared" si="0"/>
        <v>ResourcePresenceTimeSaldo-{jsdata.months[2].month}</v>
      </c>
      <c r="D65" s="3" t="s">
        <v>8235</v>
      </c>
    </row>
    <row r="66" spans="1:4" x14ac:dyDescent="0.35">
      <c r="A66" s="3" t="s">
        <v>8236</v>
      </c>
      <c r="B66" s="3" t="s">
        <v>9044</v>
      </c>
      <c r="C66" s="3" t="str">
        <f t="shared" si="0"/>
        <v>{jsdata.months[3].absences[0].absenceType}-{jsdata.months[3].month}</v>
      </c>
      <c r="D66" s="3" t="s">
        <v>8237</v>
      </c>
    </row>
    <row r="67" spans="1:4" x14ac:dyDescent="0.35">
      <c r="A67" s="3" t="s">
        <v>8236</v>
      </c>
      <c r="B67" s="3" t="s">
        <v>9045</v>
      </c>
      <c r="C67" s="3" t="str">
        <f t="shared" si="0"/>
        <v>{jsdata.months[3].absences[1].absenceType}-{jsdata.months[3].month}</v>
      </c>
      <c r="D67" s="3" t="s">
        <v>8238</v>
      </c>
    </row>
    <row r="68" spans="1:4" x14ac:dyDescent="0.35">
      <c r="A68" s="3" t="s">
        <v>8236</v>
      </c>
      <c r="B68" s="3" t="s">
        <v>9046</v>
      </c>
      <c r="C68" s="3" t="str">
        <f t="shared" ref="C68:C131" si="1">IF($A68&lt;&gt;"",$B68&amp;"-"&amp;$A68,"")</f>
        <v>{jsdata.months[3].absences[2].absenceType}-{jsdata.months[3].month}</v>
      </c>
      <c r="D68" s="3" t="s">
        <v>8239</v>
      </c>
    </row>
    <row r="69" spans="1:4" x14ac:dyDescent="0.35">
      <c r="A69" s="3" t="s">
        <v>8236</v>
      </c>
      <c r="B69" s="3" t="s">
        <v>9047</v>
      </c>
      <c r="C69" s="3" t="str">
        <f t="shared" si="1"/>
        <v>{jsdata.months[3].absences[3].absenceType}-{jsdata.months[3].month}</v>
      </c>
      <c r="D69" s="3" t="s">
        <v>8240</v>
      </c>
    </row>
    <row r="70" spans="1:4" x14ac:dyDescent="0.35">
      <c r="A70" s="3" t="s">
        <v>8236</v>
      </c>
      <c r="B70" s="3" t="s">
        <v>9048</v>
      </c>
      <c r="C70" s="3" t="str">
        <f t="shared" si="1"/>
        <v>{jsdata.months[3].absences[4].absenceType}-{jsdata.months[3].month}</v>
      </c>
      <c r="D70" s="3" t="s">
        <v>8241</v>
      </c>
    </row>
    <row r="71" spans="1:4" x14ac:dyDescent="0.35">
      <c r="A71" s="3" t="s">
        <v>8236</v>
      </c>
      <c r="B71" s="3" t="s">
        <v>9049</v>
      </c>
      <c r="C71" s="3" t="str">
        <f t="shared" si="1"/>
        <v>{jsdata.months[3].absences[5].absenceType}-{jsdata.months[3].month}</v>
      </c>
      <c r="D71" s="3" t="s">
        <v>8242</v>
      </c>
    </row>
    <row r="72" spans="1:4" x14ac:dyDescent="0.35">
      <c r="A72" s="3" t="s">
        <v>8236</v>
      </c>
      <c r="B72" s="3" t="s">
        <v>9050</v>
      </c>
      <c r="C72" s="3" t="str">
        <f t="shared" si="1"/>
        <v>{jsdata.months[3].absences[6].absenceType}-{jsdata.months[3].month}</v>
      </c>
      <c r="D72" s="3" t="s">
        <v>8243</v>
      </c>
    </row>
    <row r="73" spans="1:4" x14ac:dyDescent="0.35">
      <c r="A73" s="3" t="s">
        <v>8236</v>
      </c>
      <c r="B73" s="3" t="s">
        <v>9051</v>
      </c>
      <c r="C73" s="3" t="str">
        <f t="shared" si="1"/>
        <v>{jsdata.months[3].absences[7].absenceType}-{jsdata.months[3].month}</v>
      </c>
      <c r="D73" s="3" t="s">
        <v>8244</v>
      </c>
    </row>
    <row r="74" spans="1:4" x14ac:dyDescent="0.35">
      <c r="A74" s="3" t="s">
        <v>8236</v>
      </c>
      <c r="B74" s="3" t="s">
        <v>9052</v>
      </c>
      <c r="C74" s="3" t="str">
        <f t="shared" si="1"/>
        <v>{jsdata.months[3].absences[8].absenceType}-{jsdata.months[3].month}</v>
      </c>
      <c r="D74" s="3" t="s">
        <v>8245</v>
      </c>
    </row>
    <row r="75" spans="1:4" x14ac:dyDescent="0.35">
      <c r="A75" s="3" t="s">
        <v>8236</v>
      </c>
      <c r="B75" s="3" t="s">
        <v>9053</v>
      </c>
      <c r="C75" s="3" t="str">
        <f t="shared" si="1"/>
        <v>{jsdata.months[3].absences[9].absenceType}-{jsdata.months[3].month}</v>
      </c>
      <c r="D75" s="3" t="s">
        <v>8246</v>
      </c>
    </row>
    <row r="76" spans="1:4" x14ac:dyDescent="0.35">
      <c r="A76" s="3" t="s">
        <v>8236</v>
      </c>
      <c r="B76" s="3" t="s">
        <v>9054</v>
      </c>
      <c r="C76" s="3" t="str">
        <f t="shared" si="1"/>
        <v>{jsdata.months[3].absences[10].absenceType}-{jsdata.months[3].month}</v>
      </c>
      <c r="D76" s="3" t="s">
        <v>8247</v>
      </c>
    </row>
    <row r="77" spans="1:4" x14ac:dyDescent="0.35">
      <c r="A77" s="3" t="s">
        <v>8236</v>
      </c>
      <c r="B77" s="3" t="s">
        <v>9055</v>
      </c>
      <c r="C77" s="3" t="str">
        <f t="shared" si="1"/>
        <v>{jsdata.months[3].absences[11].absenceType}-{jsdata.months[3].month}</v>
      </c>
      <c r="D77" s="3" t="s">
        <v>8248</v>
      </c>
    </row>
    <row r="78" spans="1:4" x14ac:dyDescent="0.35">
      <c r="A78" s="3" t="s">
        <v>8236</v>
      </c>
      <c r="B78" s="3" t="s">
        <v>9056</v>
      </c>
      <c r="C78" s="3" t="str">
        <f t="shared" si="1"/>
        <v>{jsdata.months[3].absences[12].absenceType}-{jsdata.months[3].month}</v>
      </c>
      <c r="D78" s="3" t="s">
        <v>8249</v>
      </c>
    </row>
    <row r="79" spans="1:4" x14ac:dyDescent="0.35">
      <c r="A79" s="3" t="s">
        <v>8236</v>
      </c>
      <c r="B79" s="3" t="s">
        <v>9057</v>
      </c>
      <c r="C79" s="3" t="str">
        <f t="shared" si="1"/>
        <v>{jsdata.months[3].absences[13].absenceType}-{jsdata.months[3].month}</v>
      </c>
      <c r="D79" s="3" t="s">
        <v>8250</v>
      </c>
    </row>
    <row r="80" spans="1:4" x14ac:dyDescent="0.35">
      <c r="A80" s="3" t="s">
        <v>8236</v>
      </c>
      <c r="B80" s="3" t="s">
        <v>9058</v>
      </c>
      <c r="C80" s="3" t="str">
        <f t="shared" si="1"/>
        <v>{jsdata.months[3].absences[14].absenceType}-{jsdata.months[3].month}</v>
      </c>
      <c r="D80" s="3" t="s">
        <v>8251</v>
      </c>
    </row>
    <row r="81" spans="1:4" x14ac:dyDescent="0.35">
      <c r="A81" s="3" t="s">
        <v>8236</v>
      </c>
      <c r="B81" s="3" t="s">
        <v>9059</v>
      </c>
      <c r="C81" s="3" t="str">
        <f t="shared" si="1"/>
        <v>{jsdata.months[3].absences[15].absenceType}-{jsdata.months[3].month}</v>
      </c>
      <c r="D81" s="3" t="s">
        <v>8252</v>
      </c>
    </row>
    <row r="82" spans="1:4" x14ac:dyDescent="0.35">
      <c r="A82" s="3" t="s">
        <v>8236</v>
      </c>
      <c r="B82" s="3" t="s">
        <v>9060</v>
      </c>
      <c r="C82" s="3" t="str">
        <f t="shared" si="1"/>
        <v>{jsdata.months[3].absences[16].absenceType}-{jsdata.months[3].month}</v>
      </c>
      <c r="D82" s="3" t="s">
        <v>8253</v>
      </c>
    </row>
    <row r="83" spans="1:4" x14ac:dyDescent="0.35">
      <c r="A83" s="3" t="s">
        <v>8236</v>
      </c>
      <c r="B83" s="3" t="s">
        <v>9061</v>
      </c>
      <c r="C83" s="3" t="str">
        <f t="shared" si="1"/>
        <v>{jsdata.months[3].absences[17].absenceType}-{jsdata.months[3].month}</v>
      </c>
      <c r="D83" s="3" t="s">
        <v>8254</v>
      </c>
    </row>
    <row r="84" spans="1:4" x14ac:dyDescent="0.35">
      <c r="A84" s="3" t="s">
        <v>8236</v>
      </c>
      <c r="B84" s="3" t="s">
        <v>9062</v>
      </c>
      <c r="C84" s="3" t="str">
        <f t="shared" si="1"/>
        <v>{jsdata.months[3].absences[18].absenceType}-{jsdata.months[3].month}</v>
      </c>
      <c r="D84" s="3" t="s">
        <v>8255</v>
      </c>
    </row>
    <row r="85" spans="1:4" x14ac:dyDescent="0.35">
      <c r="A85" s="3" t="s">
        <v>8236</v>
      </c>
      <c r="B85" s="3" t="s">
        <v>9063</v>
      </c>
      <c r="C85" s="3" t="str">
        <f t="shared" si="1"/>
        <v>{jsdata.months[3].absences[19].absenceType}-{jsdata.months[3].month}</v>
      </c>
      <c r="D85" s="3" t="s">
        <v>8256</v>
      </c>
    </row>
    <row r="86" spans="1:4" x14ac:dyDescent="0.35">
      <c r="A86" s="3" t="s">
        <v>8236</v>
      </c>
      <c r="B86" s="3" t="s">
        <v>9724</v>
      </c>
      <c r="C86" s="3" t="str">
        <f t="shared" si="1"/>
        <v>ResourcePresenceTimeSaldo-{jsdata.months[3].month}</v>
      </c>
      <c r="D86" s="3" t="s">
        <v>8257</v>
      </c>
    </row>
    <row r="87" spans="1:4" x14ac:dyDescent="0.35">
      <c r="A87" s="3" t="s">
        <v>8258</v>
      </c>
      <c r="B87" s="3" t="s">
        <v>9064</v>
      </c>
      <c r="C87" s="3" t="str">
        <f t="shared" si="1"/>
        <v>{jsdata.months[4].absences[0].absenceType}-{jsdata.months[4].month}</v>
      </c>
      <c r="D87" s="3" t="s">
        <v>8259</v>
      </c>
    </row>
    <row r="88" spans="1:4" x14ac:dyDescent="0.35">
      <c r="A88" s="3" t="s">
        <v>8258</v>
      </c>
      <c r="B88" s="3" t="s">
        <v>9065</v>
      </c>
      <c r="C88" s="3" t="str">
        <f t="shared" si="1"/>
        <v>{jsdata.months[4].absences[1].absenceType}-{jsdata.months[4].month}</v>
      </c>
      <c r="D88" s="3" t="s">
        <v>8260</v>
      </c>
    </row>
    <row r="89" spans="1:4" x14ac:dyDescent="0.35">
      <c r="A89" s="3" t="s">
        <v>8258</v>
      </c>
      <c r="B89" s="3" t="s">
        <v>9066</v>
      </c>
      <c r="C89" s="3" t="str">
        <f t="shared" si="1"/>
        <v>{jsdata.months[4].absences[2].absenceType}-{jsdata.months[4].month}</v>
      </c>
      <c r="D89" s="3" t="s">
        <v>8261</v>
      </c>
    </row>
    <row r="90" spans="1:4" x14ac:dyDescent="0.35">
      <c r="A90" s="3" t="s">
        <v>8258</v>
      </c>
      <c r="B90" s="3" t="s">
        <v>9067</v>
      </c>
      <c r="C90" s="3" t="str">
        <f t="shared" si="1"/>
        <v>{jsdata.months[4].absences[3].absenceType}-{jsdata.months[4].month}</v>
      </c>
      <c r="D90" s="3" t="s">
        <v>8262</v>
      </c>
    </row>
    <row r="91" spans="1:4" x14ac:dyDescent="0.35">
      <c r="A91" s="3" t="s">
        <v>8258</v>
      </c>
      <c r="B91" s="3" t="s">
        <v>9068</v>
      </c>
      <c r="C91" s="3" t="str">
        <f t="shared" si="1"/>
        <v>{jsdata.months[4].absences[4].absenceType}-{jsdata.months[4].month}</v>
      </c>
      <c r="D91" s="3" t="s">
        <v>8263</v>
      </c>
    </row>
    <row r="92" spans="1:4" x14ac:dyDescent="0.35">
      <c r="A92" s="3" t="s">
        <v>8258</v>
      </c>
      <c r="B92" s="3" t="s">
        <v>9069</v>
      </c>
      <c r="C92" s="3" t="str">
        <f t="shared" si="1"/>
        <v>{jsdata.months[4].absences[5].absenceType}-{jsdata.months[4].month}</v>
      </c>
      <c r="D92" s="3" t="s">
        <v>8264</v>
      </c>
    </row>
    <row r="93" spans="1:4" x14ac:dyDescent="0.35">
      <c r="A93" s="3" t="s">
        <v>8258</v>
      </c>
      <c r="B93" s="3" t="s">
        <v>9070</v>
      </c>
      <c r="C93" s="3" t="str">
        <f t="shared" si="1"/>
        <v>{jsdata.months[4].absences[6].absenceType}-{jsdata.months[4].month}</v>
      </c>
      <c r="D93" s="3" t="s">
        <v>8265</v>
      </c>
    </row>
    <row r="94" spans="1:4" x14ac:dyDescent="0.35">
      <c r="A94" s="3" t="s">
        <v>8258</v>
      </c>
      <c r="B94" s="3" t="s">
        <v>9071</v>
      </c>
      <c r="C94" s="3" t="str">
        <f t="shared" si="1"/>
        <v>{jsdata.months[4].absences[7].absenceType}-{jsdata.months[4].month}</v>
      </c>
      <c r="D94" s="3" t="s">
        <v>8266</v>
      </c>
    </row>
    <row r="95" spans="1:4" x14ac:dyDescent="0.35">
      <c r="A95" s="3" t="s">
        <v>8258</v>
      </c>
      <c r="B95" s="3" t="s">
        <v>9072</v>
      </c>
      <c r="C95" s="3" t="str">
        <f t="shared" si="1"/>
        <v>{jsdata.months[4].absences[8].absenceType}-{jsdata.months[4].month}</v>
      </c>
      <c r="D95" s="3" t="s">
        <v>8267</v>
      </c>
    </row>
    <row r="96" spans="1:4" x14ac:dyDescent="0.35">
      <c r="A96" s="3" t="s">
        <v>8258</v>
      </c>
      <c r="B96" s="3" t="s">
        <v>9073</v>
      </c>
      <c r="C96" s="3" t="str">
        <f t="shared" si="1"/>
        <v>{jsdata.months[4].absences[9].absenceType}-{jsdata.months[4].month}</v>
      </c>
      <c r="D96" s="3" t="s">
        <v>8268</v>
      </c>
    </row>
    <row r="97" spans="1:4" x14ac:dyDescent="0.35">
      <c r="A97" s="3" t="s">
        <v>8258</v>
      </c>
      <c r="B97" s="3" t="s">
        <v>9074</v>
      </c>
      <c r="C97" s="3" t="str">
        <f t="shared" si="1"/>
        <v>{jsdata.months[4].absences[10].absenceType}-{jsdata.months[4].month}</v>
      </c>
      <c r="D97" s="3" t="s">
        <v>8269</v>
      </c>
    </row>
    <row r="98" spans="1:4" x14ac:dyDescent="0.35">
      <c r="A98" s="3" t="s">
        <v>8258</v>
      </c>
      <c r="B98" s="3" t="s">
        <v>9075</v>
      </c>
      <c r="C98" s="3" t="str">
        <f t="shared" si="1"/>
        <v>{jsdata.months[4].absences[11].absenceType}-{jsdata.months[4].month}</v>
      </c>
      <c r="D98" s="3" t="s">
        <v>8270</v>
      </c>
    </row>
    <row r="99" spans="1:4" x14ac:dyDescent="0.35">
      <c r="A99" s="3" t="s">
        <v>8258</v>
      </c>
      <c r="B99" s="3" t="s">
        <v>9076</v>
      </c>
      <c r="C99" s="3" t="str">
        <f t="shared" si="1"/>
        <v>{jsdata.months[4].absences[12].absenceType}-{jsdata.months[4].month}</v>
      </c>
      <c r="D99" s="3" t="s">
        <v>8271</v>
      </c>
    </row>
    <row r="100" spans="1:4" x14ac:dyDescent="0.35">
      <c r="A100" s="3" t="s">
        <v>8258</v>
      </c>
      <c r="B100" s="3" t="s">
        <v>9077</v>
      </c>
      <c r="C100" s="3" t="str">
        <f t="shared" si="1"/>
        <v>{jsdata.months[4].absences[13].absenceType}-{jsdata.months[4].month}</v>
      </c>
      <c r="D100" s="3" t="s">
        <v>8272</v>
      </c>
    </row>
    <row r="101" spans="1:4" x14ac:dyDescent="0.35">
      <c r="A101" s="3" t="s">
        <v>8258</v>
      </c>
      <c r="B101" s="3" t="s">
        <v>9078</v>
      </c>
      <c r="C101" s="3" t="str">
        <f t="shared" si="1"/>
        <v>{jsdata.months[4].absences[14].absenceType}-{jsdata.months[4].month}</v>
      </c>
      <c r="D101" s="3" t="s">
        <v>8273</v>
      </c>
    </row>
    <row r="102" spans="1:4" x14ac:dyDescent="0.35">
      <c r="A102" s="3" t="s">
        <v>8258</v>
      </c>
      <c r="B102" s="3" t="s">
        <v>9079</v>
      </c>
      <c r="C102" s="3" t="str">
        <f t="shared" si="1"/>
        <v>{jsdata.months[4].absences[15].absenceType}-{jsdata.months[4].month}</v>
      </c>
      <c r="D102" s="3" t="s">
        <v>8274</v>
      </c>
    </row>
    <row r="103" spans="1:4" x14ac:dyDescent="0.35">
      <c r="A103" s="3" t="s">
        <v>8258</v>
      </c>
      <c r="B103" s="3" t="s">
        <v>9080</v>
      </c>
      <c r="C103" s="3" t="str">
        <f t="shared" si="1"/>
        <v>{jsdata.months[4].absences[16].absenceType}-{jsdata.months[4].month}</v>
      </c>
      <c r="D103" s="3" t="s">
        <v>8275</v>
      </c>
    </row>
    <row r="104" spans="1:4" x14ac:dyDescent="0.35">
      <c r="A104" s="3" t="s">
        <v>8258</v>
      </c>
      <c r="B104" s="3" t="s">
        <v>9081</v>
      </c>
      <c r="C104" s="3" t="str">
        <f t="shared" si="1"/>
        <v>{jsdata.months[4].absences[17].absenceType}-{jsdata.months[4].month}</v>
      </c>
      <c r="D104" s="3" t="s">
        <v>8276</v>
      </c>
    </row>
    <row r="105" spans="1:4" x14ac:dyDescent="0.35">
      <c r="A105" s="3" t="s">
        <v>8258</v>
      </c>
      <c r="B105" s="3" t="s">
        <v>9082</v>
      </c>
      <c r="C105" s="3" t="str">
        <f t="shared" si="1"/>
        <v>{jsdata.months[4].absences[18].absenceType}-{jsdata.months[4].month}</v>
      </c>
      <c r="D105" s="3" t="s">
        <v>8277</v>
      </c>
    </row>
    <row r="106" spans="1:4" x14ac:dyDescent="0.35">
      <c r="A106" s="3" t="s">
        <v>8258</v>
      </c>
      <c r="B106" s="3" t="s">
        <v>9083</v>
      </c>
      <c r="C106" s="3" t="str">
        <f t="shared" si="1"/>
        <v>{jsdata.months[4].absences[19].absenceType}-{jsdata.months[4].month}</v>
      </c>
      <c r="D106" s="3" t="s">
        <v>8278</v>
      </c>
    </row>
    <row r="107" spans="1:4" x14ac:dyDescent="0.35">
      <c r="A107" s="3" t="s">
        <v>8258</v>
      </c>
      <c r="B107" s="3" t="s">
        <v>9724</v>
      </c>
      <c r="C107" s="3" t="str">
        <f t="shared" si="1"/>
        <v>ResourcePresenceTimeSaldo-{jsdata.months[4].month}</v>
      </c>
      <c r="D107" s="3" t="s">
        <v>8279</v>
      </c>
    </row>
    <row r="108" spans="1:4" x14ac:dyDescent="0.35">
      <c r="A108" s="3" t="s">
        <v>8280</v>
      </c>
      <c r="B108" s="3" t="s">
        <v>9084</v>
      </c>
      <c r="C108" s="3" t="str">
        <f t="shared" si="1"/>
        <v>{jsdata.months[5].absences[0].absenceType}-{jsdata.months[5].month}</v>
      </c>
      <c r="D108" s="3" t="s">
        <v>8281</v>
      </c>
    </row>
    <row r="109" spans="1:4" x14ac:dyDescent="0.35">
      <c r="A109" s="3" t="s">
        <v>8280</v>
      </c>
      <c r="B109" s="3" t="s">
        <v>9085</v>
      </c>
      <c r="C109" s="3" t="str">
        <f t="shared" si="1"/>
        <v>{jsdata.months[5].absences[1].absenceType}-{jsdata.months[5].month}</v>
      </c>
      <c r="D109" s="3" t="s">
        <v>8282</v>
      </c>
    </row>
    <row r="110" spans="1:4" x14ac:dyDescent="0.35">
      <c r="A110" s="3" t="s">
        <v>8280</v>
      </c>
      <c r="B110" s="3" t="s">
        <v>9086</v>
      </c>
      <c r="C110" s="3" t="str">
        <f t="shared" si="1"/>
        <v>{jsdata.months[5].absences[2].absenceType}-{jsdata.months[5].month}</v>
      </c>
      <c r="D110" s="3" t="s">
        <v>8283</v>
      </c>
    </row>
    <row r="111" spans="1:4" x14ac:dyDescent="0.35">
      <c r="A111" s="3" t="s">
        <v>8280</v>
      </c>
      <c r="B111" s="3" t="s">
        <v>9087</v>
      </c>
      <c r="C111" s="3" t="str">
        <f t="shared" si="1"/>
        <v>{jsdata.months[5].absences[3].absenceType}-{jsdata.months[5].month}</v>
      </c>
      <c r="D111" s="3" t="s">
        <v>8284</v>
      </c>
    </row>
    <row r="112" spans="1:4" x14ac:dyDescent="0.35">
      <c r="A112" s="3" t="s">
        <v>8280</v>
      </c>
      <c r="B112" s="3" t="s">
        <v>9088</v>
      </c>
      <c r="C112" s="3" t="str">
        <f t="shared" si="1"/>
        <v>{jsdata.months[5].absences[4].absenceType}-{jsdata.months[5].month}</v>
      </c>
      <c r="D112" s="3" t="s">
        <v>8285</v>
      </c>
    </row>
    <row r="113" spans="1:4" x14ac:dyDescent="0.35">
      <c r="A113" s="3" t="s">
        <v>8280</v>
      </c>
      <c r="B113" s="3" t="s">
        <v>9089</v>
      </c>
      <c r="C113" s="3" t="str">
        <f t="shared" si="1"/>
        <v>{jsdata.months[5].absences[5].absenceType}-{jsdata.months[5].month}</v>
      </c>
      <c r="D113" s="3" t="s">
        <v>8286</v>
      </c>
    </row>
    <row r="114" spans="1:4" x14ac:dyDescent="0.35">
      <c r="A114" s="3" t="s">
        <v>8280</v>
      </c>
      <c r="B114" s="3" t="s">
        <v>9090</v>
      </c>
      <c r="C114" s="3" t="str">
        <f t="shared" si="1"/>
        <v>{jsdata.months[5].absences[6].absenceType}-{jsdata.months[5].month}</v>
      </c>
      <c r="D114" s="3" t="s">
        <v>8287</v>
      </c>
    </row>
    <row r="115" spans="1:4" x14ac:dyDescent="0.35">
      <c r="A115" s="3" t="s">
        <v>8280</v>
      </c>
      <c r="B115" s="3" t="s">
        <v>9091</v>
      </c>
      <c r="C115" s="3" t="str">
        <f t="shared" si="1"/>
        <v>{jsdata.months[5].absences[7].absenceType}-{jsdata.months[5].month}</v>
      </c>
      <c r="D115" s="3" t="s">
        <v>8288</v>
      </c>
    </row>
    <row r="116" spans="1:4" x14ac:dyDescent="0.35">
      <c r="A116" s="3" t="s">
        <v>8280</v>
      </c>
      <c r="B116" s="3" t="s">
        <v>9092</v>
      </c>
      <c r="C116" s="3" t="str">
        <f t="shared" si="1"/>
        <v>{jsdata.months[5].absences[8].absenceType}-{jsdata.months[5].month}</v>
      </c>
      <c r="D116" s="3" t="s">
        <v>8289</v>
      </c>
    </row>
    <row r="117" spans="1:4" x14ac:dyDescent="0.35">
      <c r="A117" s="3" t="s">
        <v>8280</v>
      </c>
      <c r="B117" s="3" t="s">
        <v>9093</v>
      </c>
      <c r="C117" s="3" t="str">
        <f t="shared" si="1"/>
        <v>{jsdata.months[5].absences[9].absenceType}-{jsdata.months[5].month}</v>
      </c>
      <c r="D117" s="3" t="s">
        <v>8290</v>
      </c>
    </row>
    <row r="118" spans="1:4" x14ac:dyDescent="0.35">
      <c r="A118" s="3" t="s">
        <v>8280</v>
      </c>
      <c r="B118" s="3" t="s">
        <v>9094</v>
      </c>
      <c r="C118" s="3" t="str">
        <f t="shared" si="1"/>
        <v>{jsdata.months[5].absences[10].absenceType}-{jsdata.months[5].month}</v>
      </c>
      <c r="D118" s="3" t="s">
        <v>8291</v>
      </c>
    </row>
    <row r="119" spans="1:4" x14ac:dyDescent="0.35">
      <c r="A119" s="3" t="s">
        <v>8280</v>
      </c>
      <c r="B119" s="3" t="s">
        <v>9095</v>
      </c>
      <c r="C119" s="3" t="str">
        <f t="shared" si="1"/>
        <v>{jsdata.months[5].absences[11].absenceType}-{jsdata.months[5].month}</v>
      </c>
      <c r="D119" s="3" t="s">
        <v>8292</v>
      </c>
    </row>
    <row r="120" spans="1:4" x14ac:dyDescent="0.35">
      <c r="A120" s="3" t="s">
        <v>8280</v>
      </c>
      <c r="B120" s="3" t="s">
        <v>9096</v>
      </c>
      <c r="C120" s="3" t="str">
        <f t="shared" si="1"/>
        <v>{jsdata.months[5].absences[12].absenceType}-{jsdata.months[5].month}</v>
      </c>
      <c r="D120" s="3" t="s">
        <v>8293</v>
      </c>
    </row>
    <row r="121" spans="1:4" x14ac:dyDescent="0.35">
      <c r="A121" s="3" t="s">
        <v>8280</v>
      </c>
      <c r="B121" s="3" t="s">
        <v>9097</v>
      </c>
      <c r="C121" s="3" t="str">
        <f t="shared" si="1"/>
        <v>{jsdata.months[5].absences[13].absenceType}-{jsdata.months[5].month}</v>
      </c>
      <c r="D121" s="3" t="s">
        <v>8294</v>
      </c>
    </row>
    <row r="122" spans="1:4" x14ac:dyDescent="0.35">
      <c r="A122" s="3" t="s">
        <v>8280</v>
      </c>
      <c r="B122" s="3" t="s">
        <v>9098</v>
      </c>
      <c r="C122" s="3" t="str">
        <f t="shared" si="1"/>
        <v>{jsdata.months[5].absences[14].absenceType}-{jsdata.months[5].month}</v>
      </c>
      <c r="D122" s="3" t="s">
        <v>8295</v>
      </c>
    </row>
    <row r="123" spans="1:4" x14ac:dyDescent="0.35">
      <c r="A123" s="3" t="s">
        <v>8280</v>
      </c>
      <c r="B123" s="3" t="s">
        <v>9099</v>
      </c>
      <c r="C123" s="3" t="str">
        <f t="shared" si="1"/>
        <v>{jsdata.months[5].absences[15].absenceType}-{jsdata.months[5].month}</v>
      </c>
      <c r="D123" s="3" t="s">
        <v>8296</v>
      </c>
    </row>
    <row r="124" spans="1:4" x14ac:dyDescent="0.35">
      <c r="A124" s="3" t="s">
        <v>8280</v>
      </c>
      <c r="B124" s="3" t="s">
        <v>9100</v>
      </c>
      <c r="C124" s="3" t="str">
        <f t="shared" si="1"/>
        <v>{jsdata.months[5].absences[16].absenceType}-{jsdata.months[5].month}</v>
      </c>
      <c r="D124" s="3" t="s">
        <v>8297</v>
      </c>
    </row>
    <row r="125" spans="1:4" x14ac:dyDescent="0.35">
      <c r="A125" s="3" t="s">
        <v>8280</v>
      </c>
      <c r="B125" s="3" t="s">
        <v>9101</v>
      </c>
      <c r="C125" s="3" t="str">
        <f t="shared" si="1"/>
        <v>{jsdata.months[5].absences[17].absenceType}-{jsdata.months[5].month}</v>
      </c>
      <c r="D125" s="3" t="s">
        <v>8298</v>
      </c>
    </row>
    <row r="126" spans="1:4" x14ac:dyDescent="0.35">
      <c r="A126" s="3" t="s">
        <v>8280</v>
      </c>
      <c r="B126" s="3" t="s">
        <v>9102</v>
      </c>
      <c r="C126" s="3" t="str">
        <f t="shared" si="1"/>
        <v>{jsdata.months[5].absences[18].absenceType}-{jsdata.months[5].month}</v>
      </c>
      <c r="D126" s="3" t="s">
        <v>8299</v>
      </c>
    </row>
    <row r="127" spans="1:4" x14ac:dyDescent="0.35">
      <c r="A127" s="3" t="s">
        <v>8280</v>
      </c>
      <c r="B127" s="3" t="s">
        <v>9103</v>
      </c>
      <c r="C127" s="3" t="str">
        <f t="shared" si="1"/>
        <v>{jsdata.months[5].absences[19].absenceType}-{jsdata.months[5].month}</v>
      </c>
      <c r="D127" s="3" t="s">
        <v>8300</v>
      </c>
    </row>
    <row r="128" spans="1:4" x14ac:dyDescent="0.35">
      <c r="A128" s="3" t="s">
        <v>8280</v>
      </c>
      <c r="B128" s="3" t="s">
        <v>9724</v>
      </c>
      <c r="C128" s="3" t="str">
        <f t="shared" si="1"/>
        <v>ResourcePresenceTimeSaldo-{jsdata.months[5].month}</v>
      </c>
      <c r="D128" s="3" t="s">
        <v>8301</v>
      </c>
    </row>
    <row r="129" spans="1:4" x14ac:dyDescent="0.35">
      <c r="A129" s="3" t="s">
        <v>8302</v>
      </c>
      <c r="B129" s="3" t="s">
        <v>9104</v>
      </c>
      <c r="C129" s="3" t="str">
        <f t="shared" si="1"/>
        <v>{jsdata.months[6].absences[0].absenceType}-{jsdata.months[6].month}</v>
      </c>
      <c r="D129" s="3" t="s">
        <v>8303</v>
      </c>
    </row>
    <row r="130" spans="1:4" x14ac:dyDescent="0.35">
      <c r="A130" s="3" t="s">
        <v>8302</v>
      </c>
      <c r="B130" s="3" t="s">
        <v>9105</v>
      </c>
      <c r="C130" s="3" t="str">
        <f t="shared" si="1"/>
        <v>{jsdata.months[6].absences[1].absenceType}-{jsdata.months[6].month}</v>
      </c>
      <c r="D130" s="3" t="s">
        <v>8304</v>
      </c>
    </row>
    <row r="131" spans="1:4" x14ac:dyDescent="0.35">
      <c r="A131" s="3" t="s">
        <v>8302</v>
      </c>
      <c r="B131" s="3" t="s">
        <v>9106</v>
      </c>
      <c r="C131" s="3" t="str">
        <f t="shared" si="1"/>
        <v>{jsdata.months[6].absences[2].absenceType}-{jsdata.months[6].month}</v>
      </c>
      <c r="D131" s="3" t="s">
        <v>8305</v>
      </c>
    </row>
    <row r="132" spans="1:4" x14ac:dyDescent="0.35">
      <c r="A132" s="3" t="s">
        <v>8302</v>
      </c>
      <c r="B132" s="3" t="s">
        <v>9107</v>
      </c>
      <c r="C132" s="3" t="str">
        <f t="shared" ref="C132:C195" si="2">IF($A132&lt;&gt;"",$B132&amp;"-"&amp;$A132,"")</f>
        <v>{jsdata.months[6].absences[3].absenceType}-{jsdata.months[6].month}</v>
      </c>
      <c r="D132" s="3" t="s">
        <v>8306</v>
      </c>
    </row>
    <row r="133" spans="1:4" x14ac:dyDescent="0.35">
      <c r="A133" s="3" t="s">
        <v>8302</v>
      </c>
      <c r="B133" s="3" t="s">
        <v>9108</v>
      </c>
      <c r="C133" s="3" t="str">
        <f t="shared" si="2"/>
        <v>{jsdata.months[6].absences[4].absenceType}-{jsdata.months[6].month}</v>
      </c>
      <c r="D133" s="3" t="s">
        <v>8307</v>
      </c>
    </row>
    <row r="134" spans="1:4" x14ac:dyDescent="0.35">
      <c r="A134" s="3" t="s">
        <v>8302</v>
      </c>
      <c r="B134" s="3" t="s">
        <v>9109</v>
      </c>
      <c r="C134" s="3" t="str">
        <f t="shared" si="2"/>
        <v>{jsdata.months[6].absences[5].absenceType}-{jsdata.months[6].month}</v>
      </c>
      <c r="D134" s="3" t="s">
        <v>8308</v>
      </c>
    </row>
    <row r="135" spans="1:4" x14ac:dyDescent="0.35">
      <c r="A135" s="3" t="s">
        <v>8302</v>
      </c>
      <c r="B135" s="3" t="s">
        <v>9110</v>
      </c>
      <c r="C135" s="3" t="str">
        <f t="shared" si="2"/>
        <v>{jsdata.months[6].absences[6].absenceType}-{jsdata.months[6].month}</v>
      </c>
      <c r="D135" s="3" t="s">
        <v>8309</v>
      </c>
    </row>
    <row r="136" spans="1:4" x14ac:dyDescent="0.35">
      <c r="A136" s="3" t="s">
        <v>8302</v>
      </c>
      <c r="B136" s="3" t="s">
        <v>9111</v>
      </c>
      <c r="C136" s="3" t="str">
        <f t="shared" si="2"/>
        <v>{jsdata.months[6].absences[7].absenceType}-{jsdata.months[6].month}</v>
      </c>
      <c r="D136" s="3" t="s">
        <v>8310</v>
      </c>
    </row>
    <row r="137" spans="1:4" x14ac:dyDescent="0.35">
      <c r="A137" s="3" t="s">
        <v>8302</v>
      </c>
      <c r="B137" s="3" t="s">
        <v>9112</v>
      </c>
      <c r="C137" s="3" t="str">
        <f t="shared" si="2"/>
        <v>{jsdata.months[6].absences[8].absenceType}-{jsdata.months[6].month}</v>
      </c>
      <c r="D137" s="3" t="s">
        <v>8311</v>
      </c>
    </row>
    <row r="138" spans="1:4" x14ac:dyDescent="0.35">
      <c r="A138" s="3" t="s">
        <v>8302</v>
      </c>
      <c r="B138" s="3" t="s">
        <v>9113</v>
      </c>
      <c r="C138" s="3" t="str">
        <f t="shared" si="2"/>
        <v>{jsdata.months[6].absences[9].absenceType}-{jsdata.months[6].month}</v>
      </c>
      <c r="D138" s="3" t="s">
        <v>8312</v>
      </c>
    </row>
    <row r="139" spans="1:4" x14ac:dyDescent="0.35">
      <c r="A139" s="3" t="s">
        <v>8302</v>
      </c>
      <c r="B139" s="3" t="s">
        <v>9114</v>
      </c>
      <c r="C139" s="3" t="str">
        <f t="shared" si="2"/>
        <v>{jsdata.months[6].absences[10].absenceType}-{jsdata.months[6].month}</v>
      </c>
      <c r="D139" s="3" t="s">
        <v>8313</v>
      </c>
    </row>
    <row r="140" spans="1:4" x14ac:dyDescent="0.35">
      <c r="A140" s="3" t="s">
        <v>8302</v>
      </c>
      <c r="B140" s="3" t="s">
        <v>9115</v>
      </c>
      <c r="C140" s="3" t="str">
        <f t="shared" si="2"/>
        <v>{jsdata.months[6].absences[11].absenceType}-{jsdata.months[6].month}</v>
      </c>
      <c r="D140" s="3" t="s">
        <v>8314</v>
      </c>
    </row>
    <row r="141" spans="1:4" x14ac:dyDescent="0.35">
      <c r="A141" s="3" t="s">
        <v>8302</v>
      </c>
      <c r="B141" s="3" t="s">
        <v>9116</v>
      </c>
      <c r="C141" s="3" t="str">
        <f t="shared" si="2"/>
        <v>{jsdata.months[6].absences[12].absenceType}-{jsdata.months[6].month}</v>
      </c>
      <c r="D141" s="3" t="s">
        <v>8315</v>
      </c>
    </row>
    <row r="142" spans="1:4" x14ac:dyDescent="0.35">
      <c r="A142" s="3" t="s">
        <v>8302</v>
      </c>
      <c r="B142" s="3" t="s">
        <v>9117</v>
      </c>
      <c r="C142" s="3" t="str">
        <f t="shared" si="2"/>
        <v>{jsdata.months[6].absences[13].absenceType}-{jsdata.months[6].month}</v>
      </c>
      <c r="D142" s="3" t="s">
        <v>8316</v>
      </c>
    </row>
    <row r="143" spans="1:4" x14ac:dyDescent="0.35">
      <c r="A143" s="3" t="s">
        <v>8302</v>
      </c>
      <c r="B143" s="3" t="s">
        <v>9118</v>
      </c>
      <c r="C143" s="3" t="str">
        <f t="shared" si="2"/>
        <v>{jsdata.months[6].absences[14].absenceType}-{jsdata.months[6].month}</v>
      </c>
      <c r="D143" s="3" t="s">
        <v>8317</v>
      </c>
    </row>
    <row r="144" spans="1:4" x14ac:dyDescent="0.35">
      <c r="A144" s="3" t="s">
        <v>8302</v>
      </c>
      <c r="B144" s="3" t="s">
        <v>9119</v>
      </c>
      <c r="C144" s="3" t="str">
        <f t="shared" si="2"/>
        <v>{jsdata.months[6].absences[15].absenceType}-{jsdata.months[6].month}</v>
      </c>
      <c r="D144" s="3" t="s">
        <v>8318</v>
      </c>
    </row>
    <row r="145" spans="1:4" x14ac:dyDescent="0.35">
      <c r="A145" s="3" t="s">
        <v>8302</v>
      </c>
      <c r="B145" s="3" t="s">
        <v>9120</v>
      </c>
      <c r="C145" s="3" t="str">
        <f t="shared" si="2"/>
        <v>{jsdata.months[6].absences[16].absenceType}-{jsdata.months[6].month}</v>
      </c>
      <c r="D145" s="3" t="s">
        <v>8319</v>
      </c>
    </row>
    <row r="146" spans="1:4" x14ac:dyDescent="0.35">
      <c r="A146" s="3" t="s">
        <v>8302</v>
      </c>
      <c r="B146" s="3" t="s">
        <v>9121</v>
      </c>
      <c r="C146" s="3" t="str">
        <f t="shared" si="2"/>
        <v>{jsdata.months[6].absences[17].absenceType}-{jsdata.months[6].month}</v>
      </c>
      <c r="D146" s="3" t="s">
        <v>8320</v>
      </c>
    </row>
    <row r="147" spans="1:4" x14ac:dyDescent="0.35">
      <c r="A147" s="3" t="s">
        <v>8302</v>
      </c>
      <c r="B147" s="3" t="s">
        <v>9122</v>
      </c>
      <c r="C147" s="3" t="str">
        <f t="shared" si="2"/>
        <v>{jsdata.months[6].absences[18].absenceType}-{jsdata.months[6].month}</v>
      </c>
      <c r="D147" s="3" t="s">
        <v>8321</v>
      </c>
    </row>
    <row r="148" spans="1:4" x14ac:dyDescent="0.35">
      <c r="A148" s="3" t="s">
        <v>8302</v>
      </c>
      <c r="B148" s="3" t="s">
        <v>9123</v>
      </c>
      <c r="C148" s="3" t="str">
        <f t="shared" si="2"/>
        <v>{jsdata.months[6].absences[19].absenceType}-{jsdata.months[6].month}</v>
      </c>
      <c r="D148" s="3" t="s">
        <v>8322</v>
      </c>
    </row>
    <row r="149" spans="1:4" x14ac:dyDescent="0.35">
      <c r="A149" s="3" t="s">
        <v>8302</v>
      </c>
      <c r="B149" s="3" t="s">
        <v>9724</v>
      </c>
      <c r="C149" s="3" t="str">
        <f t="shared" si="2"/>
        <v>ResourcePresenceTimeSaldo-{jsdata.months[6].month}</v>
      </c>
      <c r="D149" s="3" t="s">
        <v>8323</v>
      </c>
    </row>
    <row r="150" spans="1:4" x14ac:dyDescent="0.35">
      <c r="A150" s="3" t="s">
        <v>8324</v>
      </c>
      <c r="B150" s="3" t="s">
        <v>9124</v>
      </c>
      <c r="C150" s="3" t="str">
        <f t="shared" si="2"/>
        <v>{jsdata.months[7].absences[0].absenceType}-{jsdata.months[7].month}</v>
      </c>
      <c r="D150" s="3" t="s">
        <v>8325</v>
      </c>
    </row>
    <row r="151" spans="1:4" x14ac:dyDescent="0.35">
      <c r="A151" s="3" t="s">
        <v>8324</v>
      </c>
      <c r="B151" s="3" t="s">
        <v>9125</v>
      </c>
      <c r="C151" s="3" t="str">
        <f t="shared" si="2"/>
        <v>{jsdata.months[7].absences[1].absenceType}-{jsdata.months[7].month}</v>
      </c>
      <c r="D151" s="3" t="s">
        <v>8326</v>
      </c>
    </row>
    <row r="152" spans="1:4" x14ac:dyDescent="0.35">
      <c r="A152" s="3" t="s">
        <v>8324</v>
      </c>
      <c r="B152" s="3" t="s">
        <v>9126</v>
      </c>
      <c r="C152" s="3" t="str">
        <f t="shared" si="2"/>
        <v>{jsdata.months[7].absences[2].absenceType}-{jsdata.months[7].month}</v>
      </c>
      <c r="D152" s="3" t="s">
        <v>8327</v>
      </c>
    </row>
    <row r="153" spans="1:4" x14ac:dyDescent="0.35">
      <c r="A153" s="3" t="s">
        <v>8324</v>
      </c>
      <c r="B153" s="3" t="s">
        <v>9127</v>
      </c>
      <c r="C153" s="3" t="str">
        <f t="shared" si="2"/>
        <v>{jsdata.months[7].absences[3].absenceType}-{jsdata.months[7].month}</v>
      </c>
      <c r="D153" s="3" t="s">
        <v>8328</v>
      </c>
    </row>
    <row r="154" spans="1:4" x14ac:dyDescent="0.35">
      <c r="A154" s="3" t="s">
        <v>8324</v>
      </c>
      <c r="B154" s="3" t="s">
        <v>9128</v>
      </c>
      <c r="C154" s="3" t="str">
        <f t="shared" si="2"/>
        <v>{jsdata.months[7].absences[4].absenceType}-{jsdata.months[7].month}</v>
      </c>
      <c r="D154" s="3" t="s">
        <v>8329</v>
      </c>
    </row>
    <row r="155" spans="1:4" x14ac:dyDescent="0.35">
      <c r="A155" s="3" t="s">
        <v>8324</v>
      </c>
      <c r="B155" s="3" t="s">
        <v>9129</v>
      </c>
      <c r="C155" s="3" t="str">
        <f t="shared" si="2"/>
        <v>{jsdata.months[7].absences[5].absenceType}-{jsdata.months[7].month}</v>
      </c>
      <c r="D155" s="3" t="s">
        <v>8330</v>
      </c>
    </row>
    <row r="156" spans="1:4" x14ac:dyDescent="0.35">
      <c r="A156" s="3" t="s">
        <v>8324</v>
      </c>
      <c r="B156" s="3" t="s">
        <v>9130</v>
      </c>
      <c r="C156" s="3" t="str">
        <f t="shared" si="2"/>
        <v>{jsdata.months[7].absences[6].absenceType}-{jsdata.months[7].month}</v>
      </c>
      <c r="D156" s="3" t="s">
        <v>8331</v>
      </c>
    </row>
    <row r="157" spans="1:4" x14ac:dyDescent="0.35">
      <c r="A157" s="3" t="s">
        <v>8324</v>
      </c>
      <c r="B157" s="3" t="s">
        <v>9131</v>
      </c>
      <c r="C157" s="3" t="str">
        <f t="shared" si="2"/>
        <v>{jsdata.months[7].absences[7].absenceType}-{jsdata.months[7].month}</v>
      </c>
      <c r="D157" s="3" t="s">
        <v>8332</v>
      </c>
    </row>
    <row r="158" spans="1:4" x14ac:dyDescent="0.35">
      <c r="A158" s="3" t="s">
        <v>8324</v>
      </c>
      <c r="B158" s="3" t="s">
        <v>9132</v>
      </c>
      <c r="C158" s="3" t="str">
        <f t="shared" si="2"/>
        <v>{jsdata.months[7].absences[8].absenceType}-{jsdata.months[7].month}</v>
      </c>
      <c r="D158" s="3" t="s">
        <v>8333</v>
      </c>
    </row>
    <row r="159" spans="1:4" x14ac:dyDescent="0.35">
      <c r="A159" s="3" t="s">
        <v>8324</v>
      </c>
      <c r="B159" s="3" t="s">
        <v>9133</v>
      </c>
      <c r="C159" s="3" t="str">
        <f t="shared" si="2"/>
        <v>{jsdata.months[7].absences[9].absenceType}-{jsdata.months[7].month}</v>
      </c>
      <c r="D159" s="3" t="s">
        <v>8334</v>
      </c>
    </row>
    <row r="160" spans="1:4" x14ac:dyDescent="0.35">
      <c r="A160" s="3" t="s">
        <v>8324</v>
      </c>
      <c r="B160" s="3" t="s">
        <v>9134</v>
      </c>
      <c r="C160" s="3" t="str">
        <f t="shared" si="2"/>
        <v>{jsdata.months[7].absences[10].absenceType}-{jsdata.months[7].month}</v>
      </c>
      <c r="D160" s="3" t="s">
        <v>8335</v>
      </c>
    </row>
    <row r="161" spans="1:4" x14ac:dyDescent="0.35">
      <c r="A161" s="3" t="s">
        <v>8324</v>
      </c>
      <c r="B161" s="3" t="s">
        <v>9135</v>
      </c>
      <c r="C161" s="3" t="str">
        <f t="shared" si="2"/>
        <v>{jsdata.months[7].absences[11].absenceType}-{jsdata.months[7].month}</v>
      </c>
      <c r="D161" s="3" t="s">
        <v>8336</v>
      </c>
    </row>
    <row r="162" spans="1:4" x14ac:dyDescent="0.35">
      <c r="A162" s="3" t="s">
        <v>8324</v>
      </c>
      <c r="B162" s="3" t="s">
        <v>9136</v>
      </c>
      <c r="C162" s="3" t="str">
        <f t="shared" si="2"/>
        <v>{jsdata.months[7].absences[12].absenceType}-{jsdata.months[7].month}</v>
      </c>
      <c r="D162" s="3" t="s">
        <v>8337</v>
      </c>
    </row>
    <row r="163" spans="1:4" x14ac:dyDescent="0.35">
      <c r="A163" s="3" t="s">
        <v>8324</v>
      </c>
      <c r="B163" s="3" t="s">
        <v>9137</v>
      </c>
      <c r="C163" s="3" t="str">
        <f t="shared" si="2"/>
        <v>{jsdata.months[7].absences[13].absenceType}-{jsdata.months[7].month}</v>
      </c>
      <c r="D163" s="3" t="s">
        <v>8338</v>
      </c>
    </row>
    <row r="164" spans="1:4" x14ac:dyDescent="0.35">
      <c r="A164" s="3" t="s">
        <v>8324</v>
      </c>
      <c r="B164" s="3" t="s">
        <v>9138</v>
      </c>
      <c r="C164" s="3" t="str">
        <f t="shared" si="2"/>
        <v>{jsdata.months[7].absences[14].absenceType}-{jsdata.months[7].month}</v>
      </c>
      <c r="D164" s="3" t="s">
        <v>8339</v>
      </c>
    </row>
    <row r="165" spans="1:4" x14ac:dyDescent="0.35">
      <c r="A165" s="3" t="s">
        <v>8324</v>
      </c>
      <c r="B165" s="3" t="s">
        <v>9139</v>
      </c>
      <c r="C165" s="3" t="str">
        <f t="shared" si="2"/>
        <v>{jsdata.months[7].absences[15].absenceType}-{jsdata.months[7].month}</v>
      </c>
      <c r="D165" s="3" t="s">
        <v>8340</v>
      </c>
    </row>
    <row r="166" spans="1:4" x14ac:dyDescent="0.35">
      <c r="A166" s="3" t="s">
        <v>8324</v>
      </c>
      <c r="B166" s="3" t="s">
        <v>9140</v>
      </c>
      <c r="C166" s="3" t="str">
        <f t="shared" si="2"/>
        <v>{jsdata.months[7].absences[16].absenceType}-{jsdata.months[7].month}</v>
      </c>
      <c r="D166" s="3" t="s">
        <v>8341</v>
      </c>
    </row>
    <row r="167" spans="1:4" x14ac:dyDescent="0.35">
      <c r="A167" s="3" t="s">
        <v>8324</v>
      </c>
      <c r="B167" s="3" t="s">
        <v>9141</v>
      </c>
      <c r="C167" s="3" t="str">
        <f t="shared" si="2"/>
        <v>{jsdata.months[7].absences[17].absenceType}-{jsdata.months[7].month}</v>
      </c>
      <c r="D167" s="3" t="s">
        <v>8342</v>
      </c>
    </row>
    <row r="168" spans="1:4" x14ac:dyDescent="0.35">
      <c r="A168" s="3" t="s">
        <v>8324</v>
      </c>
      <c r="B168" s="3" t="s">
        <v>9142</v>
      </c>
      <c r="C168" s="3" t="str">
        <f t="shared" si="2"/>
        <v>{jsdata.months[7].absences[18].absenceType}-{jsdata.months[7].month}</v>
      </c>
      <c r="D168" s="3" t="s">
        <v>8343</v>
      </c>
    </row>
    <row r="169" spans="1:4" x14ac:dyDescent="0.35">
      <c r="A169" s="3" t="s">
        <v>8324</v>
      </c>
      <c r="B169" s="3" t="s">
        <v>9143</v>
      </c>
      <c r="C169" s="3" t="str">
        <f t="shared" si="2"/>
        <v>{jsdata.months[7].absences[19].absenceType}-{jsdata.months[7].month}</v>
      </c>
      <c r="D169" s="3" t="s">
        <v>8344</v>
      </c>
    </row>
    <row r="170" spans="1:4" x14ac:dyDescent="0.35">
      <c r="A170" s="3" t="s">
        <v>8324</v>
      </c>
      <c r="B170" s="3" t="s">
        <v>9724</v>
      </c>
      <c r="C170" s="3" t="str">
        <f t="shared" si="2"/>
        <v>ResourcePresenceTimeSaldo-{jsdata.months[7].month}</v>
      </c>
      <c r="D170" s="3" t="s">
        <v>8345</v>
      </c>
    </row>
    <row r="171" spans="1:4" x14ac:dyDescent="0.35">
      <c r="A171" s="3" t="s">
        <v>8346</v>
      </c>
      <c r="B171" s="3" t="s">
        <v>9144</v>
      </c>
      <c r="C171" s="3" t="str">
        <f t="shared" si="2"/>
        <v>{jsdata.months[8].absences[0].absenceType}-{jsdata.months[8].month}</v>
      </c>
      <c r="D171" s="3" t="s">
        <v>8347</v>
      </c>
    </row>
    <row r="172" spans="1:4" x14ac:dyDescent="0.35">
      <c r="A172" s="3" t="s">
        <v>8346</v>
      </c>
      <c r="B172" s="3" t="s">
        <v>9145</v>
      </c>
      <c r="C172" s="3" t="str">
        <f t="shared" si="2"/>
        <v>{jsdata.months[8].absences[1].absenceType}-{jsdata.months[8].month}</v>
      </c>
      <c r="D172" s="3" t="s">
        <v>8348</v>
      </c>
    </row>
    <row r="173" spans="1:4" x14ac:dyDescent="0.35">
      <c r="A173" s="3" t="s">
        <v>8346</v>
      </c>
      <c r="B173" s="3" t="s">
        <v>9146</v>
      </c>
      <c r="C173" s="3" t="str">
        <f t="shared" si="2"/>
        <v>{jsdata.months[8].absences[2].absenceType}-{jsdata.months[8].month}</v>
      </c>
      <c r="D173" s="3" t="s">
        <v>8349</v>
      </c>
    </row>
    <row r="174" spans="1:4" x14ac:dyDescent="0.35">
      <c r="A174" s="3" t="s">
        <v>8346</v>
      </c>
      <c r="B174" s="3" t="s">
        <v>9147</v>
      </c>
      <c r="C174" s="3" t="str">
        <f t="shared" si="2"/>
        <v>{jsdata.months[8].absences[3].absenceType}-{jsdata.months[8].month}</v>
      </c>
      <c r="D174" s="3" t="s">
        <v>8350</v>
      </c>
    </row>
    <row r="175" spans="1:4" x14ac:dyDescent="0.35">
      <c r="A175" s="3" t="s">
        <v>8346</v>
      </c>
      <c r="B175" s="3" t="s">
        <v>9148</v>
      </c>
      <c r="C175" s="3" t="str">
        <f t="shared" si="2"/>
        <v>{jsdata.months[8].absences[4].absenceType}-{jsdata.months[8].month}</v>
      </c>
      <c r="D175" s="3" t="s">
        <v>8351</v>
      </c>
    </row>
    <row r="176" spans="1:4" x14ac:dyDescent="0.35">
      <c r="A176" s="3" t="s">
        <v>8346</v>
      </c>
      <c r="B176" s="3" t="s">
        <v>9149</v>
      </c>
      <c r="C176" s="3" t="str">
        <f t="shared" si="2"/>
        <v>{jsdata.months[8].absences[5].absenceType}-{jsdata.months[8].month}</v>
      </c>
      <c r="D176" s="3" t="s">
        <v>8352</v>
      </c>
    </row>
    <row r="177" spans="1:4" x14ac:dyDescent="0.35">
      <c r="A177" s="3" t="s">
        <v>8346</v>
      </c>
      <c r="B177" s="3" t="s">
        <v>9150</v>
      </c>
      <c r="C177" s="3" t="str">
        <f t="shared" si="2"/>
        <v>{jsdata.months[8].absences[6].absenceType}-{jsdata.months[8].month}</v>
      </c>
      <c r="D177" s="3" t="s">
        <v>8353</v>
      </c>
    </row>
    <row r="178" spans="1:4" x14ac:dyDescent="0.35">
      <c r="A178" s="3" t="s">
        <v>8346</v>
      </c>
      <c r="B178" s="3" t="s">
        <v>9151</v>
      </c>
      <c r="C178" s="3" t="str">
        <f t="shared" si="2"/>
        <v>{jsdata.months[8].absences[7].absenceType}-{jsdata.months[8].month}</v>
      </c>
      <c r="D178" s="3" t="s">
        <v>8354</v>
      </c>
    </row>
    <row r="179" spans="1:4" x14ac:dyDescent="0.35">
      <c r="A179" s="3" t="s">
        <v>8346</v>
      </c>
      <c r="B179" s="3" t="s">
        <v>9152</v>
      </c>
      <c r="C179" s="3" t="str">
        <f t="shared" si="2"/>
        <v>{jsdata.months[8].absences[8].absenceType}-{jsdata.months[8].month}</v>
      </c>
      <c r="D179" s="3" t="s">
        <v>8355</v>
      </c>
    </row>
    <row r="180" spans="1:4" x14ac:dyDescent="0.35">
      <c r="A180" s="3" t="s">
        <v>8346</v>
      </c>
      <c r="B180" s="3" t="s">
        <v>9153</v>
      </c>
      <c r="C180" s="3" t="str">
        <f t="shared" si="2"/>
        <v>{jsdata.months[8].absences[9].absenceType}-{jsdata.months[8].month}</v>
      </c>
      <c r="D180" s="3" t="s">
        <v>8356</v>
      </c>
    </row>
    <row r="181" spans="1:4" x14ac:dyDescent="0.35">
      <c r="A181" s="3" t="s">
        <v>8346</v>
      </c>
      <c r="B181" s="3" t="s">
        <v>9154</v>
      </c>
      <c r="C181" s="3" t="str">
        <f t="shared" si="2"/>
        <v>{jsdata.months[8].absences[10].absenceType}-{jsdata.months[8].month}</v>
      </c>
      <c r="D181" s="3" t="s">
        <v>8357</v>
      </c>
    </row>
    <row r="182" spans="1:4" x14ac:dyDescent="0.35">
      <c r="A182" s="3" t="s">
        <v>8346</v>
      </c>
      <c r="B182" s="3" t="s">
        <v>9155</v>
      </c>
      <c r="C182" s="3" t="str">
        <f t="shared" si="2"/>
        <v>{jsdata.months[8].absences[11].absenceType}-{jsdata.months[8].month}</v>
      </c>
      <c r="D182" s="3" t="s">
        <v>8358</v>
      </c>
    </row>
    <row r="183" spans="1:4" x14ac:dyDescent="0.35">
      <c r="A183" s="3" t="s">
        <v>8346</v>
      </c>
      <c r="B183" s="3" t="s">
        <v>9156</v>
      </c>
      <c r="C183" s="3" t="str">
        <f t="shared" si="2"/>
        <v>{jsdata.months[8].absences[12].absenceType}-{jsdata.months[8].month}</v>
      </c>
      <c r="D183" s="3" t="s">
        <v>8359</v>
      </c>
    </row>
    <row r="184" spans="1:4" x14ac:dyDescent="0.35">
      <c r="A184" s="3" t="s">
        <v>8346</v>
      </c>
      <c r="B184" s="3" t="s">
        <v>9157</v>
      </c>
      <c r="C184" s="3" t="str">
        <f t="shared" si="2"/>
        <v>{jsdata.months[8].absences[13].absenceType}-{jsdata.months[8].month}</v>
      </c>
      <c r="D184" s="3" t="s">
        <v>8360</v>
      </c>
    </row>
    <row r="185" spans="1:4" x14ac:dyDescent="0.35">
      <c r="A185" s="3" t="s">
        <v>8346</v>
      </c>
      <c r="B185" s="3" t="s">
        <v>9158</v>
      </c>
      <c r="C185" s="3" t="str">
        <f t="shared" si="2"/>
        <v>{jsdata.months[8].absences[14].absenceType}-{jsdata.months[8].month}</v>
      </c>
      <c r="D185" s="3" t="s">
        <v>8361</v>
      </c>
    </row>
    <row r="186" spans="1:4" x14ac:dyDescent="0.35">
      <c r="A186" s="3" t="s">
        <v>8346</v>
      </c>
      <c r="B186" s="3" t="s">
        <v>9159</v>
      </c>
      <c r="C186" s="3" t="str">
        <f t="shared" si="2"/>
        <v>{jsdata.months[8].absences[15].absenceType}-{jsdata.months[8].month}</v>
      </c>
      <c r="D186" s="3" t="s">
        <v>8362</v>
      </c>
    </row>
    <row r="187" spans="1:4" x14ac:dyDescent="0.35">
      <c r="A187" s="3" t="s">
        <v>8346</v>
      </c>
      <c r="B187" s="3" t="s">
        <v>9160</v>
      </c>
      <c r="C187" s="3" t="str">
        <f t="shared" si="2"/>
        <v>{jsdata.months[8].absences[16].absenceType}-{jsdata.months[8].month}</v>
      </c>
      <c r="D187" s="3" t="s">
        <v>8363</v>
      </c>
    </row>
    <row r="188" spans="1:4" x14ac:dyDescent="0.35">
      <c r="A188" s="3" t="s">
        <v>8346</v>
      </c>
      <c r="B188" s="3" t="s">
        <v>9161</v>
      </c>
      <c r="C188" s="3" t="str">
        <f t="shared" si="2"/>
        <v>{jsdata.months[8].absences[17].absenceType}-{jsdata.months[8].month}</v>
      </c>
      <c r="D188" s="3" t="s">
        <v>8364</v>
      </c>
    </row>
    <row r="189" spans="1:4" x14ac:dyDescent="0.35">
      <c r="A189" s="3" t="s">
        <v>8346</v>
      </c>
      <c r="B189" s="3" t="s">
        <v>9162</v>
      </c>
      <c r="C189" s="3" t="str">
        <f t="shared" si="2"/>
        <v>{jsdata.months[8].absences[18].absenceType}-{jsdata.months[8].month}</v>
      </c>
      <c r="D189" s="3" t="s">
        <v>8365</v>
      </c>
    </row>
    <row r="190" spans="1:4" x14ac:dyDescent="0.35">
      <c r="A190" s="3" t="s">
        <v>8346</v>
      </c>
      <c r="B190" s="3" t="s">
        <v>9163</v>
      </c>
      <c r="C190" s="3" t="str">
        <f t="shared" si="2"/>
        <v>{jsdata.months[8].absences[19].absenceType}-{jsdata.months[8].month}</v>
      </c>
      <c r="D190" s="3" t="s">
        <v>8366</v>
      </c>
    </row>
    <row r="191" spans="1:4" x14ac:dyDescent="0.35">
      <c r="A191" s="3" t="s">
        <v>8346</v>
      </c>
      <c r="B191" s="3" t="s">
        <v>9724</v>
      </c>
      <c r="C191" s="3" t="str">
        <f t="shared" si="2"/>
        <v>ResourcePresenceTimeSaldo-{jsdata.months[8].month}</v>
      </c>
      <c r="D191" s="3" t="s">
        <v>8367</v>
      </c>
    </row>
    <row r="192" spans="1:4" x14ac:dyDescent="0.35">
      <c r="A192" s="3" t="s">
        <v>8368</v>
      </c>
      <c r="B192" s="3" t="s">
        <v>9164</v>
      </c>
      <c r="C192" s="3" t="str">
        <f t="shared" si="2"/>
        <v>{jsdata.months[9].absences[0].absenceType}-{jsdata.months[9].month}</v>
      </c>
      <c r="D192" s="3" t="s">
        <v>8369</v>
      </c>
    </row>
    <row r="193" spans="1:4" x14ac:dyDescent="0.35">
      <c r="A193" s="3" t="s">
        <v>8368</v>
      </c>
      <c r="B193" s="3" t="s">
        <v>9165</v>
      </c>
      <c r="C193" s="3" t="str">
        <f t="shared" si="2"/>
        <v>{jsdata.months[9].absences[1].absenceType}-{jsdata.months[9].month}</v>
      </c>
      <c r="D193" s="3" t="s">
        <v>8370</v>
      </c>
    </row>
    <row r="194" spans="1:4" x14ac:dyDescent="0.35">
      <c r="A194" s="3" t="s">
        <v>8368</v>
      </c>
      <c r="B194" s="3" t="s">
        <v>9166</v>
      </c>
      <c r="C194" s="3" t="str">
        <f t="shared" si="2"/>
        <v>{jsdata.months[9].absences[2].absenceType}-{jsdata.months[9].month}</v>
      </c>
      <c r="D194" s="3" t="s">
        <v>8371</v>
      </c>
    </row>
    <row r="195" spans="1:4" x14ac:dyDescent="0.35">
      <c r="A195" s="3" t="s">
        <v>8368</v>
      </c>
      <c r="B195" s="3" t="s">
        <v>9167</v>
      </c>
      <c r="C195" s="3" t="str">
        <f t="shared" si="2"/>
        <v>{jsdata.months[9].absences[3].absenceType}-{jsdata.months[9].month}</v>
      </c>
      <c r="D195" s="3" t="s">
        <v>8372</v>
      </c>
    </row>
    <row r="196" spans="1:4" x14ac:dyDescent="0.35">
      <c r="A196" s="3" t="s">
        <v>8368</v>
      </c>
      <c r="B196" s="3" t="s">
        <v>9168</v>
      </c>
      <c r="C196" s="3" t="str">
        <f t="shared" ref="C196:C259" si="3">IF($A196&lt;&gt;"",$B196&amp;"-"&amp;$A196,"")</f>
        <v>{jsdata.months[9].absences[4].absenceType}-{jsdata.months[9].month}</v>
      </c>
      <c r="D196" s="3" t="s">
        <v>8373</v>
      </c>
    </row>
    <row r="197" spans="1:4" x14ac:dyDescent="0.35">
      <c r="A197" s="3" t="s">
        <v>8368</v>
      </c>
      <c r="B197" s="3" t="s">
        <v>9169</v>
      </c>
      <c r="C197" s="3" t="str">
        <f t="shared" si="3"/>
        <v>{jsdata.months[9].absences[5].absenceType}-{jsdata.months[9].month}</v>
      </c>
      <c r="D197" s="3" t="s">
        <v>8374</v>
      </c>
    </row>
    <row r="198" spans="1:4" x14ac:dyDescent="0.35">
      <c r="A198" s="3" t="s">
        <v>8368</v>
      </c>
      <c r="B198" s="3" t="s">
        <v>9170</v>
      </c>
      <c r="C198" s="3" t="str">
        <f t="shared" si="3"/>
        <v>{jsdata.months[9].absences[6].absenceType}-{jsdata.months[9].month}</v>
      </c>
      <c r="D198" s="3" t="s">
        <v>8375</v>
      </c>
    </row>
    <row r="199" spans="1:4" x14ac:dyDescent="0.35">
      <c r="A199" s="3" t="s">
        <v>8368</v>
      </c>
      <c r="B199" s="3" t="s">
        <v>9171</v>
      </c>
      <c r="C199" s="3" t="str">
        <f t="shared" si="3"/>
        <v>{jsdata.months[9].absences[7].absenceType}-{jsdata.months[9].month}</v>
      </c>
      <c r="D199" s="3" t="s">
        <v>8376</v>
      </c>
    </row>
    <row r="200" spans="1:4" x14ac:dyDescent="0.35">
      <c r="A200" s="3" t="s">
        <v>8368</v>
      </c>
      <c r="B200" s="3" t="s">
        <v>9172</v>
      </c>
      <c r="C200" s="3" t="str">
        <f t="shared" si="3"/>
        <v>{jsdata.months[9].absences[8].absenceType}-{jsdata.months[9].month}</v>
      </c>
      <c r="D200" s="3" t="s">
        <v>8377</v>
      </c>
    </row>
    <row r="201" spans="1:4" x14ac:dyDescent="0.35">
      <c r="A201" s="3" t="s">
        <v>8368</v>
      </c>
      <c r="B201" s="3" t="s">
        <v>9173</v>
      </c>
      <c r="C201" s="3" t="str">
        <f t="shared" si="3"/>
        <v>{jsdata.months[9].absences[9].absenceType}-{jsdata.months[9].month}</v>
      </c>
      <c r="D201" s="3" t="s">
        <v>8378</v>
      </c>
    </row>
    <row r="202" spans="1:4" x14ac:dyDescent="0.35">
      <c r="A202" s="3" t="s">
        <v>8368</v>
      </c>
      <c r="B202" s="3" t="s">
        <v>9174</v>
      </c>
      <c r="C202" s="3" t="str">
        <f t="shared" si="3"/>
        <v>{jsdata.months[9].absences[10].absenceType}-{jsdata.months[9].month}</v>
      </c>
      <c r="D202" s="3" t="s">
        <v>8379</v>
      </c>
    </row>
    <row r="203" spans="1:4" x14ac:dyDescent="0.35">
      <c r="A203" s="3" t="s">
        <v>8368</v>
      </c>
      <c r="B203" s="3" t="s">
        <v>9175</v>
      </c>
      <c r="C203" s="3" t="str">
        <f t="shared" si="3"/>
        <v>{jsdata.months[9].absences[11].absenceType}-{jsdata.months[9].month}</v>
      </c>
      <c r="D203" s="3" t="s">
        <v>8380</v>
      </c>
    </row>
    <row r="204" spans="1:4" x14ac:dyDescent="0.35">
      <c r="A204" s="3" t="s">
        <v>8368</v>
      </c>
      <c r="B204" s="3" t="s">
        <v>9176</v>
      </c>
      <c r="C204" s="3" t="str">
        <f t="shared" si="3"/>
        <v>{jsdata.months[9].absences[12].absenceType}-{jsdata.months[9].month}</v>
      </c>
      <c r="D204" s="3" t="s">
        <v>8381</v>
      </c>
    </row>
    <row r="205" spans="1:4" x14ac:dyDescent="0.35">
      <c r="A205" s="3" t="s">
        <v>8368</v>
      </c>
      <c r="B205" s="3" t="s">
        <v>9177</v>
      </c>
      <c r="C205" s="3" t="str">
        <f t="shared" si="3"/>
        <v>{jsdata.months[9].absences[13].absenceType}-{jsdata.months[9].month}</v>
      </c>
      <c r="D205" s="3" t="s">
        <v>8382</v>
      </c>
    </row>
    <row r="206" spans="1:4" x14ac:dyDescent="0.35">
      <c r="A206" s="3" t="s">
        <v>8368</v>
      </c>
      <c r="B206" s="3" t="s">
        <v>9178</v>
      </c>
      <c r="C206" s="3" t="str">
        <f t="shared" si="3"/>
        <v>{jsdata.months[9].absences[14].absenceType}-{jsdata.months[9].month}</v>
      </c>
      <c r="D206" s="3" t="s">
        <v>8383</v>
      </c>
    </row>
    <row r="207" spans="1:4" x14ac:dyDescent="0.35">
      <c r="A207" s="3" t="s">
        <v>8368</v>
      </c>
      <c r="B207" s="3" t="s">
        <v>9179</v>
      </c>
      <c r="C207" s="3" t="str">
        <f t="shared" si="3"/>
        <v>{jsdata.months[9].absences[15].absenceType}-{jsdata.months[9].month}</v>
      </c>
      <c r="D207" s="3" t="s">
        <v>8384</v>
      </c>
    </row>
    <row r="208" spans="1:4" x14ac:dyDescent="0.35">
      <c r="A208" s="3" t="s">
        <v>8368</v>
      </c>
      <c r="B208" s="3" t="s">
        <v>9180</v>
      </c>
      <c r="C208" s="3" t="str">
        <f t="shared" si="3"/>
        <v>{jsdata.months[9].absences[16].absenceType}-{jsdata.months[9].month}</v>
      </c>
      <c r="D208" s="3" t="s">
        <v>8385</v>
      </c>
    </row>
    <row r="209" spans="1:4" x14ac:dyDescent="0.35">
      <c r="A209" s="3" t="s">
        <v>8368</v>
      </c>
      <c r="B209" s="3" t="s">
        <v>9181</v>
      </c>
      <c r="C209" s="3" t="str">
        <f t="shared" si="3"/>
        <v>{jsdata.months[9].absences[17].absenceType}-{jsdata.months[9].month}</v>
      </c>
      <c r="D209" s="3" t="s">
        <v>8386</v>
      </c>
    </row>
    <row r="210" spans="1:4" x14ac:dyDescent="0.35">
      <c r="A210" s="3" t="s">
        <v>8368</v>
      </c>
      <c r="B210" s="3" t="s">
        <v>9182</v>
      </c>
      <c r="C210" s="3" t="str">
        <f t="shared" si="3"/>
        <v>{jsdata.months[9].absences[18].absenceType}-{jsdata.months[9].month}</v>
      </c>
      <c r="D210" s="3" t="s">
        <v>8387</v>
      </c>
    </row>
    <row r="211" spans="1:4" x14ac:dyDescent="0.35">
      <c r="A211" s="3" t="s">
        <v>8368</v>
      </c>
      <c r="B211" s="3" t="s">
        <v>9183</v>
      </c>
      <c r="C211" s="3" t="str">
        <f t="shared" si="3"/>
        <v>{jsdata.months[9].absences[19].absenceType}-{jsdata.months[9].month}</v>
      </c>
      <c r="D211" s="3" t="s">
        <v>8388</v>
      </c>
    </row>
    <row r="212" spans="1:4" x14ac:dyDescent="0.35">
      <c r="A212" s="3" t="s">
        <v>8368</v>
      </c>
      <c r="B212" s="3" t="s">
        <v>9724</v>
      </c>
      <c r="C212" s="3" t="str">
        <f t="shared" si="3"/>
        <v>ResourcePresenceTimeSaldo-{jsdata.months[9].month}</v>
      </c>
      <c r="D212" s="3" t="s">
        <v>8389</v>
      </c>
    </row>
    <row r="213" spans="1:4" x14ac:dyDescent="0.35">
      <c r="A213" s="3" t="s">
        <v>8390</v>
      </c>
      <c r="B213" s="3" t="s">
        <v>9184</v>
      </c>
      <c r="C213" s="3" t="str">
        <f t="shared" si="3"/>
        <v>{jsdata.months[10].absences[0].absenceType}-{jsdata.months[10].month}</v>
      </c>
      <c r="D213" s="3" t="s">
        <v>8391</v>
      </c>
    </row>
    <row r="214" spans="1:4" x14ac:dyDescent="0.35">
      <c r="A214" s="3" t="s">
        <v>8390</v>
      </c>
      <c r="B214" s="3" t="s">
        <v>9185</v>
      </c>
      <c r="C214" s="3" t="str">
        <f t="shared" si="3"/>
        <v>{jsdata.months[10].absences[1].absenceType}-{jsdata.months[10].month}</v>
      </c>
      <c r="D214" s="3" t="s">
        <v>8392</v>
      </c>
    </row>
    <row r="215" spans="1:4" x14ac:dyDescent="0.35">
      <c r="A215" s="3" t="s">
        <v>8390</v>
      </c>
      <c r="B215" s="3" t="s">
        <v>9186</v>
      </c>
      <c r="C215" s="3" t="str">
        <f t="shared" si="3"/>
        <v>{jsdata.months[10].absences[2].absenceType}-{jsdata.months[10].month}</v>
      </c>
      <c r="D215" s="3" t="s">
        <v>8393</v>
      </c>
    </row>
    <row r="216" spans="1:4" x14ac:dyDescent="0.35">
      <c r="A216" s="3" t="s">
        <v>8390</v>
      </c>
      <c r="B216" s="3" t="s">
        <v>9187</v>
      </c>
      <c r="C216" s="3" t="str">
        <f t="shared" si="3"/>
        <v>{jsdata.months[10].absences[3].absenceType}-{jsdata.months[10].month}</v>
      </c>
      <c r="D216" s="3" t="s">
        <v>8394</v>
      </c>
    </row>
    <row r="217" spans="1:4" x14ac:dyDescent="0.35">
      <c r="A217" s="3" t="s">
        <v>8390</v>
      </c>
      <c r="B217" s="3" t="s">
        <v>9188</v>
      </c>
      <c r="C217" s="3" t="str">
        <f t="shared" si="3"/>
        <v>{jsdata.months[10].absences[4].absenceType}-{jsdata.months[10].month}</v>
      </c>
      <c r="D217" s="3" t="s">
        <v>8395</v>
      </c>
    </row>
    <row r="218" spans="1:4" x14ac:dyDescent="0.35">
      <c r="A218" s="3" t="s">
        <v>8390</v>
      </c>
      <c r="B218" s="3" t="s">
        <v>9189</v>
      </c>
      <c r="C218" s="3" t="str">
        <f t="shared" si="3"/>
        <v>{jsdata.months[10].absences[5].absenceType}-{jsdata.months[10].month}</v>
      </c>
      <c r="D218" s="3" t="s">
        <v>8396</v>
      </c>
    </row>
    <row r="219" spans="1:4" x14ac:dyDescent="0.35">
      <c r="A219" s="3" t="s">
        <v>8390</v>
      </c>
      <c r="B219" s="3" t="s">
        <v>9190</v>
      </c>
      <c r="C219" s="3" t="str">
        <f t="shared" si="3"/>
        <v>{jsdata.months[10].absences[6].absenceType}-{jsdata.months[10].month}</v>
      </c>
      <c r="D219" s="3" t="s">
        <v>8397</v>
      </c>
    </row>
    <row r="220" spans="1:4" x14ac:dyDescent="0.35">
      <c r="A220" s="3" t="s">
        <v>8390</v>
      </c>
      <c r="B220" s="3" t="s">
        <v>9191</v>
      </c>
      <c r="C220" s="3" t="str">
        <f t="shared" si="3"/>
        <v>{jsdata.months[10].absences[7].absenceType}-{jsdata.months[10].month}</v>
      </c>
      <c r="D220" s="3" t="s">
        <v>8398</v>
      </c>
    </row>
    <row r="221" spans="1:4" x14ac:dyDescent="0.35">
      <c r="A221" s="3" t="s">
        <v>8390</v>
      </c>
      <c r="B221" s="3" t="s">
        <v>9192</v>
      </c>
      <c r="C221" s="3" t="str">
        <f t="shared" si="3"/>
        <v>{jsdata.months[10].absences[8].absenceType}-{jsdata.months[10].month}</v>
      </c>
      <c r="D221" s="3" t="s">
        <v>8399</v>
      </c>
    </row>
    <row r="222" spans="1:4" x14ac:dyDescent="0.35">
      <c r="A222" s="3" t="s">
        <v>8390</v>
      </c>
      <c r="B222" s="3" t="s">
        <v>9193</v>
      </c>
      <c r="C222" s="3" t="str">
        <f t="shared" si="3"/>
        <v>{jsdata.months[10].absences[9].absenceType}-{jsdata.months[10].month}</v>
      </c>
      <c r="D222" s="3" t="s">
        <v>8400</v>
      </c>
    </row>
    <row r="223" spans="1:4" x14ac:dyDescent="0.35">
      <c r="A223" s="3" t="s">
        <v>8390</v>
      </c>
      <c r="B223" s="3" t="s">
        <v>9194</v>
      </c>
      <c r="C223" s="3" t="str">
        <f t="shared" si="3"/>
        <v>{jsdata.months[10].absences[10].absenceType}-{jsdata.months[10].month}</v>
      </c>
      <c r="D223" s="3" t="s">
        <v>8401</v>
      </c>
    </row>
    <row r="224" spans="1:4" x14ac:dyDescent="0.35">
      <c r="A224" s="3" t="s">
        <v>8390</v>
      </c>
      <c r="B224" s="3" t="s">
        <v>9195</v>
      </c>
      <c r="C224" s="3" t="str">
        <f t="shared" si="3"/>
        <v>{jsdata.months[10].absences[11].absenceType}-{jsdata.months[10].month}</v>
      </c>
      <c r="D224" s="3" t="s">
        <v>8402</v>
      </c>
    </row>
    <row r="225" spans="1:4" x14ac:dyDescent="0.35">
      <c r="A225" s="3" t="s">
        <v>8390</v>
      </c>
      <c r="B225" s="3" t="s">
        <v>9196</v>
      </c>
      <c r="C225" s="3" t="str">
        <f t="shared" si="3"/>
        <v>{jsdata.months[10].absences[12].absenceType}-{jsdata.months[10].month}</v>
      </c>
      <c r="D225" s="3" t="s">
        <v>8403</v>
      </c>
    </row>
    <row r="226" spans="1:4" x14ac:dyDescent="0.35">
      <c r="A226" s="3" t="s">
        <v>8390</v>
      </c>
      <c r="B226" s="3" t="s">
        <v>9197</v>
      </c>
      <c r="C226" s="3" t="str">
        <f t="shared" si="3"/>
        <v>{jsdata.months[10].absences[13].absenceType}-{jsdata.months[10].month}</v>
      </c>
      <c r="D226" s="3" t="s">
        <v>8404</v>
      </c>
    </row>
    <row r="227" spans="1:4" x14ac:dyDescent="0.35">
      <c r="A227" s="3" t="s">
        <v>8390</v>
      </c>
      <c r="B227" s="3" t="s">
        <v>9198</v>
      </c>
      <c r="C227" s="3" t="str">
        <f t="shared" si="3"/>
        <v>{jsdata.months[10].absences[14].absenceType}-{jsdata.months[10].month}</v>
      </c>
      <c r="D227" s="3" t="s">
        <v>8405</v>
      </c>
    </row>
    <row r="228" spans="1:4" x14ac:dyDescent="0.35">
      <c r="A228" s="3" t="s">
        <v>8390</v>
      </c>
      <c r="B228" s="3" t="s">
        <v>9199</v>
      </c>
      <c r="C228" s="3" t="str">
        <f t="shared" si="3"/>
        <v>{jsdata.months[10].absences[15].absenceType}-{jsdata.months[10].month}</v>
      </c>
      <c r="D228" s="3" t="s">
        <v>8406</v>
      </c>
    </row>
    <row r="229" spans="1:4" x14ac:dyDescent="0.35">
      <c r="A229" s="3" t="s">
        <v>8390</v>
      </c>
      <c r="B229" s="3" t="s">
        <v>9200</v>
      </c>
      <c r="C229" s="3" t="str">
        <f t="shared" si="3"/>
        <v>{jsdata.months[10].absences[16].absenceType}-{jsdata.months[10].month}</v>
      </c>
      <c r="D229" s="3" t="s">
        <v>8407</v>
      </c>
    </row>
    <row r="230" spans="1:4" x14ac:dyDescent="0.35">
      <c r="A230" s="3" t="s">
        <v>8390</v>
      </c>
      <c r="B230" s="3" t="s">
        <v>9201</v>
      </c>
      <c r="C230" s="3" t="str">
        <f t="shared" si="3"/>
        <v>{jsdata.months[10].absences[17].absenceType}-{jsdata.months[10].month}</v>
      </c>
      <c r="D230" s="3" t="s">
        <v>8408</v>
      </c>
    </row>
    <row r="231" spans="1:4" x14ac:dyDescent="0.35">
      <c r="A231" s="3" t="s">
        <v>8390</v>
      </c>
      <c r="B231" s="3" t="s">
        <v>9202</v>
      </c>
      <c r="C231" s="3" t="str">
        <f t="shared" si="3"/>
        <v>{jsdata.months[10].absences[18].absenceType}-{jsdata.months[10].month}</v>
      </c>
      <c r="D231" s="3" t="s">
        <v>8409</v>
      </c>
    </row>
    <row r="232" spans="1:4" x14ac:dyDescent="0.35">
      <c r="A232" s="3" t="s">
        <v>8390</v>
      </c>
      <c r="B232" s="3" t="s">
        <v>9203</v>
      </c>
      <c r="C232" s="3" t="str">
        <f t="shared" si="3"/>
        <v>{jsdata.months[10].absences[19].absenceType}-{jsdata.months[10].month}</v>
      </c>
      <c r="D232" s="3" t="s">
        <v>8410</v>
      </c>
    </row>
    <row r="233" spans="1:4" x14ac:dyDescent="0.35">
      <c r="A233" s="3" t="s">
        <v>8390</v>
      </c>
      <c r="B233" s="3" t="s">
        <v>9724</v>
      </c>
      <c r="C233" s="3" t="str">
        <f t="shared" si="3"/>
        <v>ResourcePresenceTimeSaldo-{jsdata.months[10].month}</v>
      </c>
      <c r="D233" s="3" t="s">
        <v>8411</v>
      </c>
    </row>
    <row r="234" spans="1:4" x14ac:dyDescent="0.35">
      <c r="A234" s="3" t="s">
        <v>8412</v>
      </c>
      <c r="B234" s="3" t="s">
        <v>9204</v>
      </c>
      <c r="C234" s="3" t="str">
        <f t="shared" si="3"/>
        <v>{jsdata.months[11].absences[0].absenceType}-{jsdata.months[11].month}</v>
      </c>
      <c r="D234" s="3" t="s">
        <v>8413</v>
      </c>
    </row>
    <row r="235" spans="1:4" x14ac:dyDescent="0.35">
      <c r="A235" s="3" t="s">
        <v>8412</v>
      </c>
      <c r="B235" s="3" t="s">
        <v>9205</v>
      </c>
      <c r="C235" s="3" t="str">
        <f t="shared" si="3"/>
        <v>{jsdata.months[11].absences[1].absenceType}-{jsdata.months[11].month}</v>
      </c>
      <c r="D235" s="3" t="s">
        <v>8414</v>
      </c>
    </row>
    <row r="236" spans="1:4" x14ac:dyDescent="0.35">
      <c r="A236" s="3" t="s">
        <v>8412</v>
      </c>
      <c r="B236" s="3" t="s">
        <v>9206</v>
      </c>
      <c r="C236" s="3" t="str">
        <f t="shared" si="3"/>
        <v>{jsdata.months[11].absences[2].absenceType}-{jsdata.months[11].month}</v>
      </c>
      <c r="D236" s="3" t="s">
        <v>8415</v>
      </c>
    </row>
    <row r="237" spans="1:4" x14ac:dyDescent="0.35">
      <c r="A237" s="3" t="s">
        <v>8412</v>
      </c>
      <c r="B237" s="3" t="s">
        <v>9207</v>
      </c>
      <c r="C237" s="3" t="str">
        <f t="shared" si="3"/>
        <v>{jsdata.months[11].absences[3].absenceType}-{jsdata.months[11].month}</v>
      </c>
      <c r="D237" s="3" t="s">
        <v>8416</v>
      </c>
    </row>
    <row r="238" spans="1:4" x14ac:dyDescent="0.35">
      <c r="A238" s="3" t="s">
        <v>8412</v>
      </c>
      <c r="B238" s="3" t="s">
        <v>9208</v>
      </c>
      <c r="C238" s="3" t="str">
        <f t="shared" si="3"/>
        <v>{jsdata.months[11].absences[4].absenceType}-{jsdata.months[11].month}</v>
      </c>
      <c r="D238" s="3" t="s">
        <v>8417</v>
      </c>
    </row>
    <row r="239" spans="1:4" x14ac:dyDescent="0.35">
      <c r="A239" s="3" t="s">
        <v>8412</v>
      </c>
      <c r="B239" s="3" t="s">
        <v>9209</v>
      </c>
      <c r="C239" s="3" t="str">
        <f t="shared" si="3"/>
        <v>{jsdata.months[11].absences[5].absenceType}-{jsdata.months[11].month}</v>
      </c>
      <c r="D239" s="3" t="s">
        <v>8418</v>
      </c>
    </row>
    <row r="240" spans="1:4" x14ac:dyDescent="0.35">
      <c r="A240" s="3" t="s">
        <v>8412</v>
      </c>
      <c r="B240" s="3" t="s">
        <v>9210</v>
      </c>
      <c r="C240" s="3" t="str">
        <f t="shared" si="3"/>
        <v>{jsdata.months[11].absences[6].absenceType}-{jsdata.months[11].month}</v>
      </c>
      <c r="D240" s="3" t="s">
        <v>8419</v>
      </c>
    </row>
    <row r="241" spans="1:4" x14ac:dyDescent="0.35">
      <c r="A241" s="3" t="s">
        <v>8412</v>
      </c>
      <c r="B241" s="3" t="s">
        <v>9211</v>
      </c>
      <c r="C241" s="3" t="str">
        <f t="shared" si="3"/>
        <v>{jsdata.months[11].absences[7].absenceType}-{jsdata.months[11].month}</v>
      </c>
      <c r="D241" s="3" t="s">
        <v>8420</v>
      </c>
    </row>
    <row r="242" spans="1:4" x14ac:dyDescent="0.35">
      <c r="A242" s="3" t="s">
        <v>8412</v>
      </c>
      <c r="B242" s="3" t="s">
        <v>9212</v>
      </c>
      <c r="C242" s="3" t="str">
        <f t="shared" si="3"/>
        <v>{jsdata.months[11].absences[8].absenceType}-{jsdata.months[11].month}</v>
      </c>
      <c r="D242" s="3" t="s">
        <v>8421</v>
      </c>
    </row>
    <row r="243" spans="1:4" x14ac:dyDescent="0.35">
      <c r="A243" s="3" t="s">
        <v>8412</v>
      </c>
      <c r="B243" s="3" t="s">
        <v>9213</v>
      </c>
      <c r="C243" s="3" t="str">
        <f t="shared" si="3"/>
        <v>{jsdata.months[11].absences[9].absenceType}-{jsdata.months[11].month}</v>
      </c>
      <c r="D243" s="3" t="s">
        <v>8422</v>
      </c>
    </row>
    <row r="244" spans="1:4" x14ac:dyDescent="0.35">
      <c r="A244" s="3" t="s">
        <v>8412</v>
      </c>
      <c r="B244" s="3" t="s">
        <v>9214</v>
      </c>
      <c r="C244" s="3" t="str">
        <f t="shared" si="3"/>
        <v>{jsdata.months[11].absences[10].absenceType}-{jsdata.months[11].month}</v>
      </c>
      <c r="D244" s="3" t="s">
        <v>8423</v>
      </c>
    </row>
    <row r="245" spans="1:4" x14ac:dyDescent="0.35">
      <c r="A245" s="3" t="s">
        <v>8412</v>
      </c>
      <c r="B245" s="3" t="s">
        <v>9215</v>
      </c>
      <c r="C245" s="3" t="str">
        <f t="shared" si="3"/>
        <v>{jsdata.months[11].absences[11].absenceType}-{jsdata.months[11].month}</v>
      </c>
      <c r="D245" s="3" t="s">
        <v>8424</v>
      </c>
    </row>
    <row r="246" spans="1:4" x14ac:dyDescent="0.35">
      <c r="A246" s="3" t="s">
        <v>8412</v>
      </c>
      <c r="B246" s="3" t="s">
        <v>9216</v>
      </c>
      <c r="C246" s="3" t="str">
        <f t="shared" si="3"/>
        <v>{jsdata.months[11].absences[12].absenceType}-{jsdata.months[11].month}</v>
      </c>
      <c r="D246" s="3" t="s">
        <v>8425</v>
      </c>
    </row>
    <row r="247" spans="1:4" x14ac:dyDescent="0.35">
      <c r="A247" s="3" t="s">
        <v>8412</v>
      </c>
      <c r="B247" s="3" t="s">
        <v>9217</v>
      </c>
      <c r="C247" s="3" t="str">
        <f t="shared" si="3"/>
        <v>{jsdata.months[11].absences[13].absenceType}-{jsdata.months[11].month}</v>
      </c>
      <c r="D247" s="3" t="s">
        <v>8426</v>
      </c>
    </row>
    <row r="248" spans="1:4" x14ac:dyDescent="0.35">
      <c r="A248" s="3" t="s">
        <v>8412</v>
      </c>
      <c r="B248" s="3" t="s">
        <v>9218</v>
      </c>
      <c r="C248" s="3" t="str">
        <f t="shared" si="3"/>
        <v>{jsdata.months[11].absences[14].absenceType}-{jsdata.months[11].month}</v>
      </c>
      <c r="D248" s="3" t="s">
        <v>8427</v>
      </c>
    </row>
    <row r="249" spans="1:4" x14ac:dyDescent="0.35">
      <c r="A249" s="3" t="s">
        <v>8412</v>
      </c>
      <c r="B249" s="3" t="s">
        <v>9219</v>
      </c>
      <c r="C249" s="3" t="str">
        <f t="shared" si="3"/>
        <v>{jsdata.months[11].absences[15].absenceType}-{jsdata.months[11].month}</v>
      </c>
      <c r="D249" s="3" t="s">
        <v>8428</v>
      </c>
    </row>
    <row r="250" spans="1:4" x14ac:dyDescent="0.35">
      <c r="A250" s="3" t="s">
        <v>8412</v>
      </c>
      <c r="B250" s="3" t="s">
        <v>9220</v>
      </c>
      <c r="C250" s="3" t="str">
        <f t="shared" si="3"/>
        <v>{jsdata.months[11].absences[16].absenceType}-{jsdata.months[11].month}</v>
      </c>
      <c r="D250" s="3" t="s">
        <v>8429</v>
      </c>
    </row>
    <row r="251" spans="1:4" x14ac:dyDescent="0.35">
      <c r="A251" s="3" t="s">
        <v>8412</v>
      </c>
      <c r="B251" s="3" t="s">
        <v>9221</v>
      </c>
      <c r="C251" s="3" t="str">
        <f t="shared" si="3"/>
        <v>{jsdata.months[11].absences[17].absenceType}-{jsdata.months[11].month}</v>
      </c>
      <c r="D251" s="3" t="s">
        <v>8430</v>
      </c>
    </row>
    <row r="252" spans="1:4" x14ac:dyDescent="0.35">
      <c r="A252" s="3" t="s">
        <v>8412</v>
      </c>
      <c r="B252" s="3" t="s">
        <v>9222</v>
      </c>
      <c r="C252" s="3" t="str">
        <f t="shared" si="3"/>
        <v>{jsdata.months[11].absences[18].absenceType}-{jsdata.months[11].month}</v>
      </c>
      <c r="D252" s="3" t="s">
        <v>8431</v>
      </c>
    </row>
    <row r="253" spans="1:4" x14ac:dyDescent="0.35">
      <c r="A253" s="3" t="s">
        <v>8412</v>
      </c>
      <c r="B253" s="3" t="s">
        <v>9223</v>
      </c>
      <c r="C253" s="3" t="str">
        <f t="shared" si="3"/>
        <v>{jsdata.months[11].absences[19].absenceType}-{jsdata.months[11].month}</v>
      </c>
      <c r="D253" s="3" t="s">
        <v>8432</v>
      </c>
    </row>
    <row r="254" spans="1:4" x14ac:dyDescent="0.35">
      <c r="A254" s="3" t="s">
        <v>8412</v>
      </c>
      <c r="B254" s="3" t="s">
        <v>9724</v>
      </c>
      <c r="C254" s="3" t="str">
        <f t="shared" si="3"/>
        <v>ResourcePresenceTimeSaldo-{jsdata.months[11].month}</v>
      </c>
      <c r="D254" s="3" t="s">
        <v>8433</v>
      </c>
    </row>
    <row r="255" spans="1:4" x14ac:dyDescent="0.35">
      <c r="A255" s="3" t="s">
        <v>8434</v>
      </c>
      <c r="B255" s="3" t="s">
        <v>9224</v>
      </c>
      <c r="C255" s="3" t="str">
        <f t="shared" si="3"/>
        <v>{jsdata.months[12].absences[0].absenceType}-{jsdata.months[12].month}</v>
      </c>
      <c r="D255" s="3" t="s">
        <v>8435</v>
      </c>
    </row>
    <row r="256" spans="1:4" x14ac:dyDescent="0.35">
      <c r="A256" s="3" t="s">
        <v>8434</v>
      </c>
      <c r="B256" s="3" t="s">
        <v>9225</v>
      </c>
      <c r="C256" s="3" t="str">
        <f t="shared" si="3"/>
        <v>{jsdata.months[12].absences[1].absenceType}-{jsdata.months[12].month}</v>
      </c>
      <c r="D256" s="3" t="s">
        <v>8436</v>
      </c>
    </row>
    <row r="257" spans="1:4" x14ac:dyDescent="0.35">
      <c r="A257" s="3" t="s">
        <v>8434</v>
      </c>
      <c r="B257" s="3" t="s">
        <v>9226</v>
      </c>
      <c r="C257" s="3" t="str">
        <f t="shared" si="3"/>
        <v>{jsdata.months[12].absences[2].absenceType}-{jsdata.months[12].month}</v>
      </c>
      <c r="D257" s="3" t="s">
        <v>8437</v>
      </c>
    </row>
    <row r="258" spans="1:4" x14ac:dyDescent="0.35">
      <c r="A258" s="3" t="s">
        <v>8434</v>
      </c>
      <c r="B258" s="3" t="s">
        <v>9227</v>
      </c>
      <c r="C258" s="3" t="str">
        <f t="shared" si="3"/>
        <v>{jsdata.months[12].absences[3].absenceType}-{jsdata.months[12].month}</v>
      </c>
      <c r="D258" s="3" t="s">
        <v>8438</v>
      </c>
    </row>
    <row r="259" spans="1:4" x14ac:dyDescent="0.35">
      <c r="A259" s="3" t="s">
        <v>8434</v>
      </c>
      <c r="B259" s="3" t="s">
        <v>9228</v>
      </c>
      <c r="C259" s="3" t="str">
        <f t="shared" si="3"/>
        <v>{jsdata.months[12].absences[4].absenceType}-{jsdata.months[12].month}</v>
      </c>
      <c r="D259" s="3" t="s">
        <v>8439</v>
      </c>
    </row>
    <row r="260" spans="1:4" x14ac:dyDescent="0.35">
      <c r="A260" s="3" t="s">
        <v>8434</v>
      </c>
      <c r="B260" s="3" t="s">
        <v>9229</v>
      </c>
      <c r="C260" s="3" t="str">
        <f t="shared" ref="C260:C323" si="4">IF($A260&lt;&gt;"",$B260&amp;"-"&amp;$A260,"")</f>
        <v>{jsdata.months[12].absences[5].absenceType}-{jsdata.months[12].month}</v>
      </c>
      <c r="D260" s="3" t="s">
        <v>8440</v>
      </c>
    </row>
    <row r="261" spans="1:4" x14ac:dyDescent="0.35">
      <c r="A261" s="3" t="s">
        <v>8434</v>
      </c>
      <c r="B261" s="3" t="s">
        <v>9230</v>
      </c>
      <c r="C261" s="3" t="str">
        <f t="shared" si="4"/>
        <v>{jsdata.months[12].absences[6].absenceType}-{jsdata.months[12].month}</v>
      </c>
      <c r="D261" s="3" t="s">
        <v>8441</v>
      </c>
    </row>
    <row r="262" spans="1:4" x14ac:dyDescent="0.35">
      <c r="A262" s="3" t="s">
        <v>8434</v>
      </c>
      <c r="B262" s="3" t="s">
        <v>9231</v>
      </c>
      <c r="C262" s="3" t="str">
        <f t="shared" si="4"/>
        <v>{jsdata.months[12].absences[7].absenceType}-{jsdata.months[12].month}</v>
      </c>
      <c r="D262" s="3" t="s">
        <v>8442</v>
      </c>
    </row>
    <row r="263" spans="1:4" x14ac:dyDescent="0.35">
      <c r="A263" s="3" t="s">
        <v>8434</v>
      </c>
      <c r="B263" s="3" t="s">
        <v>9232</v>
      </c>
      <c r="C263" s="3" t="str">
        <f t="shared" si="4"/>
        <v>{jsdata.months[12].absences[8].absenceType}-{jsdata.months[12].month}</v>
      </c>
      <c r="D263" s="3" t="s">
        <v>8443</v>
      </c>
    </row>
    <row r="264" spans="1:4" x14ac:dyDescent="0.35">
      <c r="A264" s="3" t="s">
        <v>8434</v>
      </c>
      <c r="B264" s="3" t="s">
        <v>9233</v>
      </c>
      <c r="C264" s="3" t="str">
        <f t="shared" si="4"/>
        <v>{jsdata.months[12].absences[9].absenceType}-{jsdata.months[12].month}</v>
      </c>
      <c r="D264" s="3" t="s">
        <v>8444</v>
      </c>
    </row>
    <row r="265" spans="1:4" x14ac:dyDescent="0.35">
      <c r="A265" s="3" t="s">
        <v>8434</v>
      </c>
      <c r="B265" s="3" t="s">
        <v>9234</v>
      </c>
      <c r="C265" s="3" t="str">
        <f t="shared" si="4"/>
        <v>{jsdata.months[12].absences[10].absenceType}-{jsdata.months[12].month}</v>
      </c>
      <c r="D265" s="3" t="s">
        <v>8445</v>
      </c>
    </row>
    <row r="266" spans="1:4" x14ac:dyDescent="0.35">
      <c r="A266" s="3" t="s">
        <v>8434</v>
      </c>
      <c r="B266" s="3" t="s">
        <v>9235</v>
      </c>
      <c r="C266" s="3" t="str">
        <f t="shared" si="4"/>
        <v>{jsdata.months[12].absences[11].absenceType}-{jsdata.months[12].month}</v>
      </c>
      <c r="D266" s="3" t="s">
        <v>8446</v>
      </c>
    </row>
    <row r="267" spans="1:4" x14ac:dyDescent="0.35">
      <c r="A267" s="3" t="s">
        <v>8434</v>
      </c>
      <c r="B267" s="3" t="s">
        <v>9236</v>
      </c>
      <c r="C267" s="3" t="str">
        <f t="shared" si="4"/>
        <v>{jsdata.months[12].absences[12].absenceType}-{jsdata.months[12].month}</v>
      </c>
      <c r="D267" s="3" t="s">
        <v>8447</v>
      </c>
    </row>
    <row r="268" spans="1:4" x14ac:dyDescent="0.35">
      <c r="A268" s="3" t="s">
        <v>8434</v>
      </c>
      <c r="B268" s="3" t="s">
        <v>9237</v>
      </c>
      <c r="C268" s="3" t="str">
        <f t="shared" si="4"/>
        <v>{jsdata.months[12].absences[13].absenceType}-{jsdata.months[12].month}</v>
      </c>
      <c r="D268" s="3" t="s">
        <v>8448</v>
      </c>
    </row>
    <row r="269" spans="1:4" x14ac:dyDescent="0.35">
      <c r="A269" s="3" t="s">
        <v>8434</v>
      </c>
      <c r="B269" s="3" t="s">
        <v>9238</v>
      </c>
      <c r="C269" s="3" t="str">
        <f t="shared" si="4"/>
        <v>{jsdata.months[12].absences[14].absenceType}-{jsdata.months[12].month}</v>
      </c>
      <c r="D269" s="3" t="s">
        <v>8449</v>
      </c>
    </row>
    <row r="270" spans="1:4" x14ac:dyDescent="0.35">
      <c r="A270" s="3" t="s">
        <v>8434</v>
      </c>
      <c r="B270" s="3" t="s">
        <v>9239</v>
      </c>
      <c r="C270" s="3" t="str">
        <f t="shared" si="4"/>
        <v>{jsdata.months[12].absences[15].absenceType}-{jsdata.months[12].month}</v>
      </c>
      <c r="D270" s="3" t="s">
        <v>8450</v>
      </c>
    </row>
    <row r="271" spans="1:4" x14ac:dyDescent="0.35">
      <c r="A271" s="3" t="s">
        <v>8434</v>
      </c>
      <c r="B271" s="3" t="s">
        <v>9240</v>
      </c>
      <c r="C271" s="3" t="str">
        <f t="shared" si="4"/>
        <v>{jsdata.months[12].absences[16].absenceType}-{jsdata.months[12].month}</v>
      </c>
      <c r="D271" s="3" t="s">
        <v>8451</v>
      </c>
    </row>
    <row r="272" spans="1:4" x14ac:dyDescent="0.35">
      <c r="A272" s="3" t="s">
        <v>8434</v>
      </c>
      <c r="B272" s="3" t="s">
        <v>9241</v>
      </c>
      <c r="C272" s="3" t="str">
        <f t="shared" si="4"/>
        <v>{jsdata.months[12].absences[17].absenceType}-{jsdata.months[12].month}</v>
      </c>
      <c r="D272" s="3" t="s">
        <v>8452</v>
      </c>
    </row>
    <row r="273" spans="1:4" x14ac:dyDescent="0.35">
      <c r="A273" s="3" t="s">
        <v>8434</v>
      </c>
      <c r="B273" s="3" t="s">
        <v>9242</v>
      </c>
      <c r="C273" s="3" t="str">
        <f t="shared" si="4"/>
        <v>{jsdata.months[12].absences[18].absenceType}-{jsdata.months[12].month}</v>
      </c>
      <c r="D273" s="3" t="s">
        <v>8453</v>
      </c>
    </row>
    <row r="274" spans="1:4" x14ac:dyDescent="0.35">
      <c r="A274" s="3" t="s">
        <v>8434</v>
      </c>
      <c r="B274" s="3" t="s">
        <v>9243</v>
      </c>
      <c r="C274" s="3" t="str">
        <f t="shared" si="4"/>
        <v>{jsdata.months[12].absences[19].absenceType}-{jsdata.months[12].month}</v>
      </c>
      <c r="D274" s="3" t="s">
        <v>8454</v>
      </c>
    </row>
    <row r="275" spans="1:4" x14ac:dyDescent="0.35">
      <c r="A275" s="3" t="s">
        <v>8434</v>
      </c>
      <c r="B275" s="3" t="s">
        <v>9724</v>
      </c>
      <c r="C275" s="3" t="str">
        <f t="shared" si="4"/>
        <v>ResourcePresenceTimeSaldo-{jsdata.months[12].month}</v>
      </c>
      <c r="D275" s="3" t="s">
        <v>8455</v>
      </c>
    </row>
    <row r="276" spans="1:4" x14ac:dyDescent="0.35">
      <c r="A276" s="3" t="s">
        <v>8456</v>
      </c>
      <c r="B276" s="3" t="s">
        <v>9244</v>
      </c>
      <c r="C276" s="3" t="str">
        <f t="shared" si="4"/>
        <v>{jsdata.months[13].absences[0].absenceType}-{jsdata.months[13].month}</v>
      </c>
      <c r="D276" s="3" t="s">
        <v>8457</v>
      </c>
    </row>
    <row r="277" spans="1:4" x14ac:dyDescent="0.35">
      <c r="A277" s="3" t="s">
        <v>8456</v>
      </c>
      <c r="B277" s="3" t="s">
        <v>9245</v>
      </c>
      <c r="C277" s="3" t="str">
        <f t="shared" si="4"/>
        <v>{jsdata.months[13].absences[1].absenceType}-{jsdata.months[13].month}</v>
      </c>
      <c r="D277" s="3" t="s">
        <v>8458</v>
      </c>
    </row>
    <row r="278" spans="1:4" x14ac:dyDescent="0.35">
      <c r="A278" s="3" t="s">
        <v>8456</v>
      </c>
      <c r="B278" s="3" t="s">
        <v>9246</v>
      </c>
      <c r="C278" s="3" t="str">
        <f t="shared" si="4"/>
        <v>{jsdata.months[13].absences[2].absenceType}-{jsdata.months[13].month}</v>
      </c>
      <c r="D278" s="3" t="s">
        <v>8459</v>
      </c>
    </row>
    <row r="279" spans="1:4" x14ac:dyDescent="0.35">
      <c r="A279" s="3" t="s">
        <v>8456</v>
      </c>
      <c r="B279" s="3" t="s">
        <v>9247</v>
      </c>
      <c r="C279" s="3" t="str">
        <f t="shared" si="4"/>
        <v>{jsdata.months[13].absences[3].absenceType}-{jsdata.months[13].month}</v>
      </c>
      <c r="D279" s="3" t="s">
        <v>8460</v>
      </c>
    </row>
    <row r="280" spans="1:4" x14ac:dyDescent="0.35">
      <c r="A280" s="3" t="s">
        <v>8456</v>
      </c>
      <c r="B280" s="3" t="s">
        <v>9248</v>
      </c>
      <c r="C280" s="3" t="str">
        <f t="shared" si="4"/>
        <v>{jsdata.months[13].absences[4].absenceType}-{jsdata.months[13].month}</v>
      </c>
      <c r="D280" s="3" t="s">
        <v>8461</v>
      </c>
    </row>
    <row r="281" spans="1:4" x14ac:dyDescent="0.35">
      <c r="A281" s="3" t="s">
        <v>8456</v>
      </c>
      <c r="B281" s="3" t="s">
        <v>9249</v>
      </c>
      <c r="C281" s="3" t="str">
        <f t="shared" si="4"/>
        <v>{jsdata.months[13].absences[5].absenceType}-{jsdata.months[13].month}</v>
      </c>
      <c r="D281" s="3" t="s">
        <v>8462</v>
      </c>
    </row>
    <row r="282" spans="1:4" x14ac:dyDescent="0.35">
      <c r="A282" s="3" t="s">
        <v>8456</v>
      </c>
      <c r="B282" s="3" t="s">
        <v>9250</v>
      </c>
      <c r="C282" s="3" t="str">
        <f t="shared" si="4"/>
        <v>{jsdata.months[13].absences[6].absenceType}-{jsdata.months[13].month}</v>
      </c>
      <c r="D282" s="3" t="s">
        <v>8463</v>
      </c>
    </row>
    <row r="283" spans="1:4" x14ac:dyDescent="0.35">
      <c r="A283" s="3" t="s">
        <v>8456</v>
      </c>
      <c r="B283" s="3" t="s">
        <v>9251</v>
      </c>
      <c r="C283" s="3" t="str">
        <f t="shared" si="4"/>
        <v>{jsdata.months[13].absences[7].absenceType}-{jsdata.months[13].month}</v>
      </c>
      <c r="D283" s="3" t="s">
        <v>8464</v>
      </c>
    </row>
    <row r="284" spans="1:4" x14ac:dyDescent="0.35">
      <c r="A284" s="3" t="s">
        <v>8456</v>
      </c>
      <c r="B284" s="3" t="s">
        <v>9252</v>
      </c>
      <c r="C284" s="3" t="str">
        <f t="shared" si="4"/>
        <v>{jsdata.months[13].absences[8].absenceType}-{jsdata.months[13].month}</v>
      </c>
      <c r="D284" s="3" t="s">
        <v>8465</v>
      </c>
    </row>
    <row r="285" spans="1:4" x14ac:dyDescent="0.35">
      <c r="A285" s="3" t="s">
        <v>8456</v>
      </c>
      <c r="B285" s="3" t="s">
        <v>9253</v>
      </c>
      <c r="C285" s="3" t="str">
        <f t="shared" si="4"/>
        <v>{jsdata.months[13].absences[9].absenceType}-{jsdata.months[13].month}</v>
      </c>
      <c r="D285" s="3" t="s">
        <v>8466</v>
      </c>
    </row>
    <row r="286" spans="1:4" x14ac:dyDescent="0.35">
      <c r="A286" s="3" t="s">
        <v>8456</v>
      </c>
      <c r="B286" s="3" t="s">
        <v>9254</v>
      </c>
      <c r="C286" s="3" t="str">
        <f t="shared" si="4"/>
        <v>{jsdata.months[13].absences[10].absenceType}-{jsdata.months[13].month}</v>
      </c>
      <c r="D286" s="3" t="s">
        <v>8467</v>
      </c>
    </row>
    <row r="287" spans="1:4" x14ac:dyDescent="0.35">
      <c r="A287" s="3" t="s">
        <v>8456</v>
      </c>
      <c r="B287" s="3" t="s">
        <v>9255</v>
      </c>
      <c r="C287" s="3" t="str">
        <f t="shared" si="4"/>
        <v>{jsdata.months[13].absences[11].absenceType}-{jsdata.months[13].month}</v>
      </c>
      <c r="D287" s="3" t="s">
        <v>8468</v>
      </c>
    </row>
    <row r="288" spans="1:4" x14ac:dyDescent="0.35">
      <c r="A288" s="3" t="s">
        <v>8456</v>
      </c>
      <c r="B288" s="3" t="s">
        <v>9256</v>
      </c>
      <c r="C288" s="3" t="str">
        <f t="shared" si="4"/>
        <v>{jsdata.months[13].absences[12].absenceType}-{jsdata.months[13].month}</v>
      </c>
      <c r="D288" s="3" t="s">
        <v>8469</v>
      </c>
    </row>
    <row r="289" spans="1:4" x14ac:dyDescent="0.35">
      <c r="A289" s="3" t="s">
        <v>8456</v>
      </c>
      <c r="B289" s="3" t="s">
        <v>9257</v>
      </c>
      <c r="C289" s="3" t="str">
        <f t="shared" si="4"/>
        <v>{jsdata.months[13].absences[13].absenceType}-{jsdata.months[13].month}</v>
      </c>
      <c r="D289" s="3" t="s">
        <v>8470</v>
      </c>
    </row>
    <row r="290" spans="1:4" x14ac:dyDescent="0.35">
      <c r="A290" s="3" t="s">
        <v>8456</v>
      </c>
      <c r="B290" s="3" t="s">
        <v>9258</v>
      </c>
      <c r="C290" s="3" t="str">
        <f t="shared" si="4"/>
        <v>{jsdata.months[13].absences[14].absenceType}-{jsdata.months[13].month}</v>
      </c>
      <c r="D290" s="3" t="s">
        <v>8471</v>
      </c>
    </row>
    <row r="291" spans="1:4" x14ac:dyDescent="0.35">
      <c r="A291" s="3" t="s">
        <v>8456</v>
      </c>
      <c r="B291" s="3" t="s">
        <v>9259</v>
      </c>
      <c r="C291" s="3" t="str">
        <f t="shared" si="4"/>
        <v>{jsdata.months[13].absences[15].absenceType}-{jsdata.months[13].month}</v>
      </c>
      <c r="D291" s="3" t="s">
        <v>8472</v>
      </c>
    </row>
    <row r="292" spans="1:4" x14ac:dyDescent="0.35">
      <c r="A292" s="3" t="s">
        <v>8456</v>
      </c>
      <c r="B292" s="3" t="s">
        <v>9260</v>
      </c>
      <c r="C292" s="3" t="str">
        <f t="shared" si="4"/>
        <v>{jsdata.months[13].absences[16].absenceType}-{jsdata.months[13].month}</v>
      </c>
      <c r="D292" s="3" t="s">
        <v>8473</v>
      </c>
    </row>
    <row r="293" spans="1:4" x14ac:dyDescent="0.35">
      <c r="A293" s="3" t="s">
        <v>8456</v>
      </c>
      <c r="B293" s="3" t="s">
        <v>9261</v>
      </c>
      <c r="C293" s="3" t="str">
        <f t="shared" si="4"/>
        <v>{jsdata.months[13].absences[17].absenceType}-{jsdata.months[13].month}</v>
      </c>
      <c r="D293" s="3" t="s">
        <v>8474</v>
      </c>
    </row>
    <row r="294" spans="1:4" x14ac:dyDescent="0.35">
      <c r="A294" s="3" t="s">
        <v>8456</v>
      </c>
      <c r="B294" s="3" t="s">
        <v>9262</v>
      </c>
      <c r="C294" s="3" t="str">
        <f t="shared" si="4"/>
        <v>{jsdata.months[13].absences[18].absenceType}-{jsdata.months[13].month}</v>
      </c>
      <c r="D294" s="3" t="s">
        <v>8475</v>
      </c>
    </row>
    <row r="295" spans="1:4" x14ac:dyDescent="0.35">
      <c r="A295" s="3" t="s">
        <v>8456</v>
      </c>
      <c r="B295" s="3" t="s">
        <v>9263</v>
      </c>
      <c r="C295" s="3" t="str">
        <f t="shared" si="4"/>
        <v>{jsdata.months[13].absences[19].absenceType}-{jsdata.months[13].month}</v>
      </c>
      <c r="D295" s="3" t="s">
        <v>8476</v>
      </c>
    </row>
    <row r="296" spans="1:4" x14ac:dyDescent="0.35">
      <c r="A296" s="3" t="s">
        <v>8456</v>
      </c>
      <c r="B296" s="3" t="s">
        <v>9724</v>
      </c>
      <c r="C296" s="3" t="str">
        <f t="shared" si="4"/>
        <v>ResourcePresenceTimeSaldo-{jsdata.months[13].month}</v>
      </c>
      <c r="D296" s="3" t="s">
        <v>8477</v>
      </c>
    </row>
    <row r="297" spans="1:4" x14ac:dyDescent="0.35">
      <c r="A297" s="3" t="s">
        <v>8478</v>
      </c>
      <c r="B297" s="3" t="s">
        <v>9264</v>
      </c>
      <c r="C297" s="3" t="str">
        <f t="shared" si="4"/>
        <v>{jsdata.months[14].absences[0].absenceType}-{jsdata.months[14].month}</v>
      </c>
      <c r="D297" s="3" t="s">
        <v>8479</v>
      </c>
    </row>
    <row r="298" spans="1:4" x14ac:dyDescent="0.35">
      <c r="A298" s="3" t="s">
        <v>8478</v>
      </c>
      <c r="B298" s="3" t="s">
        <v>9265</v>
      </c>
      <c r="C298" s="3" t="str">
        <f t="shared" si="4"/>
        <v>{jsdata.months[14].absences[1].absenceType}-{jsdata.months[14].month}</v>
      </c>
      <c r="D298" s="3" t="s">
        <v>8480</v>
      </c>
    </row>
    <row r="299" spans="1:4" x14ac:dyDescent="0.35">
      <c r="A299" s="3" t="s">
        <v>8478</v>
      </c>
      <c r="B299" s="3" t="s">
        <v>9266</v>
      </c>
      <c r="C299" s="3" t="str">
        <f t="shared" si="4"/>
        <v>{jsdata.months[14].absences[2].absenceType}-{jsdata.months[14].month}</v>
      </c>
      <c r="D299" s="3" t="s">
        <v>8481</v>
      </c>
    </row>
    <row r="300" spans="1:4" x14ac:dyDescent="0.35">
      <c r="A300" s="3" t="s">
        <v>8478</v>
      </c>
      <c r="B300" s="3" t="s">
        <v>9267</v>
      </c>
      <c r="C300" s="3" t="str">
        <f t="shared" si="4"/>
        <v>{jsdata.months[14].absences[3].absenceType}-{jsdata.months[14].month}</v>
      </c>
      <c r="D300" s="3" t="s">
        <v>8482</v>
      </c>
    </row>
    <row r="301" spans="1:4" x14ac:dyDescent="0.35">
      <c r="A301" s="3" t="s">
        <v>8478</v>
      </c>
      <c r="B301" s="3" t="s">
        <v>9268</v>
      </c>
      <c r="C301" s="3" t="str">
        <f t="shared" si="4"/>
        <v>{jsdata.months[14].absences[4].absenceType}-{jsdata.months[14].month}</v>
      </c>
      <c r="D301" s="3" t="s">
        <v>8483</v>
      </c>
    </row>
    <row r="302" spans="1:4" x14ac:dyDescent="0.35">
      <c r="A302" s="3" t="s">
        <v>8478</v>
      </c>
      <c r="B302" s="3" t="s">
        <v>9269</v>
      </c>
      <c r="C302" s="3" t="str">
        <f t="shared" si="4"/>
        <v>{jsdata.months[14].absences[5].absenceType}-{jsdata.months[14].month}</v>
      </c>
      <c r="D302" s="3" t="s">
        <v>8484</v>
      </c>
    </row>
    <row r="303" spans="1:4" x14ac:dyDescent="0.35">
      <c r="A303" s="3" t="s">
        <v>8478</v>
      </c>
      <c r="B303" s="3" t="s">
        <v>9270</v>
      </c>
      <c r="C303" s="3" t="str">
        <f t="shared" si="4"/>
        <v>{jsdata.months[14].absences[6].absenceType}-{jsdata.months[14].month}</v>
      </c>
      <c r="D303" s="3" t="s">
        <v>8485</v>
      </c>
    </row>
    <row r="304" spans="1:4" x14ac:dyDescent="0.35">
      <c r="A304" s="3" t="s">
        <v>8478</v>
      </c>
      <c r="B304" s="3" t="s">
        <v>9271</v>
      </c>
      <c r="C304" s="3" t="str">
        <f t="shared" si="4"/>
        <v>{jsdata.months[14].absences[7].absenceType}-{jsdata.months[14].month}</v>
      </c>
      <c r="D304" s="3" t="s">
        <v>8486</v>
      </c>
    </row>
    <row r="305" spans="1:4" x14ac:dyDescent="0.35">
      <c r="A305" s="3" t="s">
        <v>8478</v>
      </c>
      <c r="B305" s="3" t="s">
        <v>9272</v>
      </c>
      <c r="C305" s="3" t="str">
        <f t="shared" si="4"/>
        <v>{jsdata.months[14].absences[8].absenceType}-{jsdata.months[14].month}</v>
      </c>
      <c r="D305" s="3" t="s">
        <v>8487</v>
      </c>
    </row>
    <row r="306" spans="1:4" x14ac:dyDescent="0.35">
      <c r="A306" s="3" t="s">
        <v>8478</v>
      </c>
      <c r="B306" s="3" t="s">
        <v>9273</v>
      </c>
      <c r="C306" s="3" t="str">
        <f t="shared" si="4"/>
        <v>{jsdata.months[14].absences[9].absenceType}-{jsdata.months[14].month}</v>
      </c>
      <c r="D306" s="3" t="s">
        <v>8488</v>
      </c>
    </row>
    <row r="307" spans="1:4" x14ac:dyDescent="0.35">
      <c r="A307" s="3" t="s">
        <v>8478</v>
      </c>
      <c r="B307" s="3" t="s">
        <v>9274</v>
      </c>
      <c r="C307" s="3" t="str">
        <f t="shared" si="4"/>
        <v>{jsdata.months[14].absences[10].absenceType}-{jsdata.months[14].month}</v>
      </c>
      <c r="D307" s="3" t="s">
        <v>8489</v>
      </c>
    </row>
    <row r="308" spans="1:4" x14ac:dyDescent="0.35">
      <c r="A308" s="3" t="s">
        <v>8478</v>
      </c>
      <c r="B308" s="3" t="s">
        <v>9275</v>
      </c>
      <c r="C308" s="3" t="str">
        <f t="shared" si="4"/>
        <v>{jsdata.months[14].absences[11].absenceType}-{jsdata.months[14].month}</v>
      </c>
      <c r="D308" s="3" t="s">
        <v>8490</v>
      </c>
    </row>
    <row r="309" spans="1:4" x14ac:dyDescent="0.35">
      <c r="A309" s="3" t="s">
        <v>8478</v>
      </c>
      <c r="B309" s="3" t="s">
        <v>9276</v>
      </c>
      <c r="C309" s="3" t="str">
        <f t="shared" si="4"/>
        <v>{jsdata.months[14].absences[12].absenceType}-{jsdata.months[14].month}</v>
      </c>
      <c r="D309" s="3" t="s">
        <v>8491</v>
      </c>
    </row>
    <row r="310" spans="1:4" x14ac:dyDescent="0.35">
      <c r="A310" s="3" t="s">
        <v>8478</v>
      </c>
      <c r="B310" s="3" t="s">
        <v>9277</v>
      </c>
      <c r="C310" s="3" t="str">
        <f t="shared" si="4"/>
        <v>{jsdata.months[14].absences[13].absenceType}-{jsdata.months[14].month}</v>
      </c>
      <c r="D310" s="3" t="s">
        <v>8492</v>
      </c>
    </row>
    <row r="311" spans="1:4" x14ac:dyDescent="0.35">
      <c r="A311" s="3" t="s">
        <v>8478</v>
      </c>
      <c r="B311" s="3" t="s">
        <v>9278</v>
      </c>
      <c r="C311" s="3" t="str">
        <f t="shared" si="4"/>
        <v>{jsdata.months[14].absences[14].absenceType}-{jsdata.months[14].month}</v>
      </c>
      <c r="D311" s="3" t="s">
        <v>8493</v>
      </c>
    </row>
    <row r="312" spans="1:4" x14ac:dyDescent="0.35">
      <c r="A312" s="3" t="s">
        <v>8478</v>
      </c>
      <c r="B312" s="3" t="s">
        <v>9279</v>
      </c>
      <c r="C312" s="3" t="str">
        <f t="shared" si="4"/>
        <v>{jsdata.months[14].absences[15].absenceType}-{jsdata.months[14].month}</v>
      </c>
      <c r="D312" s="3" t="s">
        <v>8494</v>
      </c>
    </row>
    <row r="313" spans="1:4" x14ac:dyDescent="0.35">
      <c r="A313" s="3" t="s">
        <v>8478</v>
      </c>
      <c r="B313" s="3" t="s">
        <v>9280</v>
      </c>
      <c r="C313" s="3" t="str">
        <f t="shared" si="4"/>
        <v>{jsdata.months[14].absences[16].absenceType}-{jsdata.months[14].month}</v>
      </c>
      <c r="D313" s="3" t="s">
        <v>8495</v>
      </c>
    </row>
    <row r="314" spans="1:4" x14ac:dyDescent="0.35">
      <c r="A314" s="3" t="s">
        <v>8478</v>
      </c>
      <c r="B314" s="3" t="s">
        <v>9281</v>
      </c>
      <c r="C314" s="3" t="str">
        <f t="shared" si="4"/>
        <v>{jsdata.months[14].absences[17].absenceType}-{jsdata.months[14].month}</v>
      </c>
      <c r="D314" s="3" t="s">
        <v>8496</v>
      </c>
    </row>
    <row r="315" spans="1:4" x14ac:dyDescent="0.35">
      <c r="A315" s="3" t="s">
        <v>8478</v>
      </c>
      <c r="B315" s="3" t="s">
        <v>9282</v>
      </c>
      <c r="C315" s="3" t="str">
        <f t="shared" si="4"/>
        <v>{jsdata.months[14].absences[18].absenceType}-{jsdata.months[14].month}</v>
      </c>
      <c r="D315" s="3" t="s">
        <v>8497</v>
      </c>
    </row>
    <row r="316" spans="1:4" x14ac:dyDescent="0.35">
      <c r="A316" s="3" t="s">
        <v>8478</v>
      </c>
      <c r="B316" s="3" t="s">
        <v>9283</v>
      </c>
      <c r="C316" s="3" t="str">
        <f t="shared" si="4"/>
        <v>{jsdata.months[14].absences[19].absenceType}-{jsdata.months[14].month}</v>
      </c>
      <c r="D316" s="3" t="s">
        <v>8498</v>
      </c>
    </row>
    <row r="317" spans="1:4" x14ac:dyDescent="0.35">
      <c r="A317" s="3" t="s">
        <v>8478</v>
      </c>
      <c r="B317" s="3" t="s">
        <v>9724</v>
      </c>
      <c r="C317" s="3" t="str">
        <f t="shared" si="4"/>
        <v>ResourcePresenceTimeSaldo-{jsdata.months[14].month}</v>
      </c>
      <c r="D317" s="3" t="s">
        <v>8499</v>
      </c>
    </row>
    <row r="318" spans="1:4" x14ac:dyDescent="0.35">
      <c r="A318" s="3" t="s">
        <v>8500</v>
      </c>
      <c r="B318" s="3" t="s">
        <v>9284</v>
      </c>
      <c r="C318" s="3" t="str">
        <f t="shared" si="4"/>
        <v>{jsdata.months[15].absences[0].absenceType}-{jsdata.months[15].month}</v>
      </c>
      <c r="D318" s="3" t="s">
        <v>8501</v>
      </c>
    </row>
    <row r="319" spans="1:4" x14ac:dyDescent="0.35">
      <c r="A319" s="3" t="s">
        <v>8500</v>
      </c>
      <c r="B319" s="3" t="s">
        <v>9285</v>
      </c>
      <c r="C319" s="3" t="str">
        <f t="shared" si="4"/>
        <v>{jsdata.months[15].absences[1].absenceType}-{jsdata.months[15].month}</v>
      </c>
      <c r="D319" s="3" t="s">
        <v>8502</v>
      </c>
    </row>
    <row r="320" spans="1:4" x14ac:dyDescent="0.35">
      <c r="A320" s="3" t="s">
        <v>8500</v>
      </c>
      <c r="B320" s="3" t="s">
        <v>9286</v>
      </c>
      <c r="C320" s="3" t="str">
        <f t="shared" si="4"/>
        <v>{jsdata.months[15].absences[2].absenceType}-{jsdata.months[15].month}</v>
      </c>
      <c r="D320" s="3" t="s">
        <v>8503</v>
      </c>
    </row>
    <row r="321" spans="1:4" x14ac:dyDescent="0.35">
      <c r="A321" s="3" t="s">
        <v>8500</v>
      </c>
      <c r="B321" s="3" t="s">
        <v>9287</v>
      </c>
      <c r="C321" s="3" t="str">
        <f t="shared" si="4"/>
        <v>{jsdata.months[15].absences[3].absenceType}-{jsdata.months[15].month}</v>
      </c>
      <c r="D321" s="3" t="s">
        <v>8504</v>
      </c>
    </row>
    <row r="322" spans="1:4" x14ac:dyDescent="0.35">
      <c r="A322" s="3" t="s">
        <v>8500</v>
      </c>
      <c r="B322" s="3" t="s">
        <v>9288</v>
      </c>
      <c r="C322" s="3" t="str">
        <f t="shared" si="4"/>
        <v>{jsdata.months[15].absences[4].absenceType}-{jsdata.months[15].month}</v>
      </c>
      <c r="D322" s="3" t="s">
        <v>8505</v>
      </c>
    </row>
    <row r="323" spans="1:4" x14ac:dyDescent="0.35">
      <c r="A323" s="3" t="s">
        <v>8500</v>
      </c>
      <c r="B323" s="3" t="s">
        <v>9289</v>
      </c>
      <c r="C323" s="3" t="str">
        <f t="shared" si="4"/>
        <v>{jsdata.months[15].absences[5].absenceType}-{jsdata.months[15].month}</v>
      </c>
      <c r="D323" s="3" t="s">
        <v>8506</v>
      </c>
    </row>
    <row r="324" spans="1:4" x14ac:dyDescent="0.35">
      <c r="A324" s="3" t="s">
        <v>8500</v>
      </c>
      <c r="B324" s="3" t="s">
        <v>9290</v>
      </c>
      <c r="C324" s="3" t="str">
        <f t="shared" ref="C324:C387" si="5">IF($A324&lt;&gt;"",$B324&amp;"-"&amp;$A324,"")</f>
        <v>{jsdata.months[15].absences[6].absenceType}-{jsdata.months[15].month}</v>
      </c>
      <c r="D324" s="3" t="s">
        <v>8507</v>
      </c>
    </row>
    <row r="325" spans="1:4" x14ac:dyDescent="0.35">
      <c r="A325" s="3" t="s">
        <v>8500</v>
      </c>
      <c r="B325" s="3" t="s">
        <v>9291</v>
      </c>
      <c r="C325" s="3" t="str">
        <f t="shared" si="5"/>
        <v>{jsdata.months[15].absences[7].absenceType}-{jsdata.months[15].month}</v>
      </c>
      <c r="D325" s="3" t="s">
        <v>8508</v>
      </c>
    </row>
    <row r="326" spans="1:4" x14ac:dyDescent="0.35">
      <c r="A326" s="3" t="s">
        <v>8500</v>
      </c>
      <c r="B326" s="3" t="s">
        <v>9292</v>
      </c>
      <c r="C326" s="3" t="str">
        <f t="shared" si="5"/>
        <v>{jsdata.months[15].absences[8].absenceType}-{jsdata.months[15].month}</v>
      </c>
      <c r="D326" s="3" t="s">
        <v>8509</v>
      </c>
    </row>
    <row r="327" spans="1:4" x14ac:dyDescent="0.35">
      <c r="A327" s="3" t="s">
        <v>8500</v>
      </c>
      <c r="B327" s="3" t="s">
        <v>9293</v>
      </c>
      <c r="C327" s="3" t="str">
        <f t="shared" si="5"/>
        <v>{jsdata.months[15].absences[9].absenceType}-{jsdata.months[15].month}</v>
      </c>
      <c r="D327" s="3" t="s">
        <v>8510</v>
      </c>
    </row>
    <row r="328" spans="1:4" x14ac:dyDescent="0.35">
      <c r="A328" s="3" t="s">
        <v>8500</v>
      </c>
      <c r="B328" s="3" t="s">
        <v>9294</v>
      </c>
      <c r="C328" s="3" t="str">
        <f t="shared" si="5"/>
        <v>{jsdata.months[15].absences[10].absenceType}-{jsdata.months[15].month}</v>
      </c>
      <c r="D328" s="3" t="s">
        <v>8511</v>
      </c>
    </row>
    <row r="329" spans="1:4" x14ac:dyDescent="0.35">
      <c r="A329" s="3" t="s">
        <v>8500</v>
      </c>
      <c r="B329" s="3" t="s">
        <v>9295</v>
      </c>
      <c r="C329" s="3" t="str">
        <f t="shared" si="5"/>
        <v>{jsdata.months[15].absences[11].absenceType}-{jsdata.months[15].month}</v>
      </c>
      <c r="D329" s="3" t="s">
        <v>8512</v>
      </c>
    </row>
    <row r="330" spans="1:4" x14ac:dyDescent="0.35">
      <c r="A330" s="3" t="s">
        <v>8500</v>
      </c>
      <c r="B330" s="3" t="s">
        <v>9296</v>
      </c>
      <c r="C330" s="3" t="str">
        <f t="shared" si="5"/>
        <v>{jsdata.months[15].absences[12].absenceType}-{jsdata.months[15].month}</v>
      </c>
      <c r="D330" s="3" t="s">
        <v>8513</v>
      </c>
    </row>
    <row r="331" spans="1:4" x14ac:dyDescent="0.35">
      <c r="A331" s="3" t="s">
        <v>8500</v>
      </c>
      <c r="B331" s="3" t="s">
        <v>9297</v>
      </c>
      <c r="C331" s="3" t="str">
        <f t="shared" si="5"/>
        <v>{jsdata.months[15].absences[13].absenceType}-{jsdata.months[15].month}</v>
      </c>
      <c r="D331" s="3" t="s">
        <v>8514</v>
      </c>
    </row>
    <row r="332" spans="1:4" x14ac:dyDescent="0.35">
      <c r="A332" s="3" t="s">
        <v>8500</v>
      </c>
      <c r="B332" s="3" t="s">
        <v>9298</v>
      </c>
      <c r="C332" s="3" t="str">
        <f t="shared" si="5"/>
        <v>{jsdata.months[15].absences[14].absenceType}-{jsdata.months[15].month}</v>
      </c>
      <c r="D332" s="3" t="s">
        <v>8515</v>
      </c>
    </row>
    <row r="333" spans="1:4" x14ac:dyDescent="0.35">
      <c r="A333" s="3" t="s">
        <v>8500</v>
      </c>
      <c r="B333" s="3" t="s">
        <v>9299</v>
      </c>
      <c r="C333" s="3" t="str">
        <f t="shared" si="5"/>
        <v>{jsdata.months[15].absences[15].absenceType}-{jsdata.months[15].month}</v>
      </c>
      <c r="D333" s="3" t="s">
        <v>8516</v>
      </c>
    </row>
    <row r="334" spans="1:4" x14ac:dyDescent="0.35">
      <c r="A334" s="3" t="s">
        <v>8500</v>
      </c>
      <c r="B334" s="3" t="s">
        <v>9300</v>
      </c>
      <c r="C334" s="3" t="str">
        <f t="shared" si="5"/>
        <v>{jsdata.months[15].absences[16].absenceType}-{jsdata.months[15].month}</v>
      </c>
      <c r="D334" s="3" t="s">
        <v>8517</v>
      </c>
    </row>
    <row r="335" spans="1:4" x14ac:dyDescent="0.35">
      <c r="A335" s="3" t="s">
        <v>8500</v>
      </c>
      <c r="B335" s="3" t="s">
        <v>9301</v>
      </c>
      <c r="C335" s="3" t="str">
        <f t="shared" si="5"/>
        <v>{jsdata.months[15].absences[17].absenceType}-{jsdata.months[15].month}</v>
      </c>
      <c r="D335" s="3" t="s">
        <v>8518</v>
      </c>
    </row>
    <row r="336" spans="1:4" x14ac:dyDescent="0.35">
      <c r="A336" s="3" t="s">
        <v>8500</v>
      </c>
      <c r="B336" s="3" t="s">
        <v>9302</v>
      </c>
      <c r="C336" s="3" t="str">
        <f t="shared" si="5"/>
        <v>{jsdata.months[15].absences[18].absenceType}-{jsdata.months[15].month}</v>
      </c>
      <c r="D336" s="3" t="s">
        <v>8519</v>
      </c>
    </row>
    <row r="337" spans="1:4" x14ac:dyDescent="0.35">
      <c r="A337" s="3" t="s">
        <v>8500</v>
      </c>
      <c r="B337" s="3" t="s">
        <v>9303</v>
      </c>
      <c r="C337" s="3" t="str">
        <f t="shared" si="5"/>
        <v>{jsdata.months[15].absences[19].absenceType}-{jsdata.months[15].month}</v>
      </c>
      <c r="D337" s="3" t="s">
        <v>8520</v>
      </c>
    </row>
    <row r="338" spans="1:4" x14ac:dyDescent="0.35">
      <c r="A338" s="3" t="s">
        <v>8500</v>
      </c>
      <c r="B338" s="3" t="s">
        <v>9724</v>
      </c>
      <c r="C338" s="3" t="str">
        <f t="shared" si="5"/>
        <v>ResourcePresenceTimeSaldo-{jsdata.months[15].month}</v>
      </c>
      <c r="D338" s="3" t="s">
        <v>8521</v>
      </c>
    </row>
    <row r="339" spans="1:4" x14ac:dyDescent="0.35">
      <c r="A339" s="3" t="s">
        <v>8522</v>
      </c>
      <c r="B339" s="3" t="s">
        <v>9304</v>
      </c>
      <c r="C339" s="3" t="str">
        <f t="shared" si="5"/>
        <v>{jsdata.months[16].absences[0].absenceType}-{jsdata.months[16].month}</v>
      </c>
      <c r="D339" s="3" t="s">
        <v>8523</v>
      </c>
    </row>
    <row r="340" spans="1:4" x14ac:dyDescent="0.35">
      <c r="A340" s="3" t="s">
        <v>8522</v>
      </c>
      <c r="B340" s="3" t="s">
        <v>9305</v>
      </c>
      <c r="C340" s="3" t="str">
        <f t="shared" si="5"/>
        <v>{jsdata.months[16].absences[1].absenceType}-{jsdata.months[16].month}</v>
      </c>
      <c r="D340" s="3" t="s">
        <v>8524</v>
      </c>
    </row>
    <row r="341" spans="1:4" x14ac:dyDescent="0.35">
      <c r="A341" s="3" t="s">
        <v>8522</v>
      </c>
      <c r="B341" s="3" t="s">
        <v>9306</v>
      </c>
      <c r="C341" s="3" t="str">
        <f t="shared" si="5"/>
        <v>{jsdata.months[16].absences[2].absenceType}-{jsdata.months[16].month}</v>
      </c>
      <c r="D341" s="3" t="s">
        <v>8525</v>
      </c>
    </row>
    <row r="342" spans="1:4" x14ac:dyDescent="0.35">
      <c r="A342" s="3" t="s">
        <v>8522</v>
      </c>
      <c r="B342" s="3" t="s">
        <v>9307</v>
      </c>
      <c r="C342" s="3" t="str">
        <f t="shared" si="5"/>
        <v>{jsdata.months[16].absences[3].absenceType}-{jsdata.months[16].month}</v>
      </c>
      <c r="D342" s="3" t="s">
        <v>8526</v>
      </c>
    </row>
    <row r="343" spans="1:4" x14ac:dyDescent="0.35">
      <c r="A343" s="3" t="s">
        <v>8522</v>
      </c>
      <c r="B343" s="3" t="s">
        <v>9308</v>
      </c>
      <c r="C343" s="3" t="str">
        <f t="shared" si="5"/>
        <v>{jsdata.months[16].absences[4].absenceType}-{jsdata.months[16].month}</v>
      </c>
      <c r="D343" s="3" t="s">
        <v>8527</v>
      </c>
    </row>
    <row r="344" spans="1:4" x14ac:dyDescent="0.35">
      <c r="A344" s="3" t="s">
        <v>8522</v>
      </c>
      <c r="B344" s="3" t="s">
        <v>9309</v>
      </c>
      <c r="C344" s="3" t="str">
        <f t="shared" si="5"/>
        <v>{jsdata.months[16].absences[5].absenceType}-{jsdata.months[16].month}</v>
      </c>
      <c r="D344" s="3" t="s">
        <v>8528</v>
      </c>
    </row>
    <row r="345" spans="1:4" x14ac:dyDescent="0.35">
      <c r="A345" s="3" t="s">
        <v>8522</v>
      </c>
      <c r="B345" s="3" t="s">
        <v>9310</v>
      </c>
      <c r="C345" s="3" t="str">
        <f t="shared" si="5"/>
        <v>{jsdata.months[16].absences[6].absenceType}-{jsdata.months[16].month}</v>
      </c>
      <c r="D345" s="3" t="s">
        <v>8529</v>
      </c>
    </row>
    <row r="346" spans="1:4" x14ac:dyDescent="0.35">
      <c r="A346" s="3" t="s">
        <v>8522</v>
      </c>
      <c r="B346" s="3" t="s">
        <v>9311</v>
      </c>
      <c r="C346" s="3" t="str">
        <f t="shared" si="5"/>
        <v>{jsdata.months[16].absences[7].absenceType}-{jsdata.months[16].month}</v>
      </c>
      <c r="D346" s="3" t="s">
        <v>8530</v>
      </c>
    </row>
    <row r="347" spans="1:4" x14ac:dyDescent="0.35">
      <c r="A347" s="3" t="s">
        <v>8522</v>
      </c>
      <c r="B347" s="3" t="s">
        <v>9312</v>
      </c>
      <c r="C347" s="3" t="str">
        <f t="shared" si="5"/>
        <v>{jsdata.months[16].absences[8].absenceType}-{jsdata.months[16].month}</v>
      </c>
      <c r="D347" s="3" t="s">
        <v>8531</v>
      </c>
    </row>
    <row r="348" spans="1:4" x14ac:dyDescent="0.35">
      <c r="A348" s="3" t="s">
        <v>8522</v>
      </c>
      <c r="B348" s="3" t="s">
        <v>9313</v>
      </c>
      <c r="C348" s="3" t="str">
        <f t="shared" si="5"/>
        <v>{jsdata.months[16].absences[9].absenceType}-{jsdata.months[16].month}</v>
      </c>
      <c r="D348" s="3" t="s">
        <v>8532</v>
      </c>
    </row>
    <row r="349" spans="1:4" x14ac:dyDescent="0.35">
      <c r="A349" s="3" t="s">
        <v>8522</v>
      </c>
      <c r="B349" s="3" t="s">
        <v>9314</v>
      </c>
      <c r="C349" s="3" t="str">
        <f t="shared" si="5"/>
        <v>{jsdata.months[16].absences[10].absenceType}-{jsdata.months[16].month}</v>
      </c>
      <c r="D349" s="3" t="s">
        <v>8533</v>
      </c>
    </row>
    <row r="350" spans="1:4" x14ac:dyDescent="0.35">
      <c r="A350" s="3" t="s">
        <v>8522</v>
      </c>
      <c r="B350" s="3" t="s">
        <v>9315</v>
      </c>
      <c r="C350" s="3" t="str">
        <f t="shared" si="5"/>
        <v>{jsdata.months[16].absences[11].absenceType}-{jsdata.months[16].month}</v>
      </c>
      <c r="D350" s="3" t="s">
        <v>8534</v>
      </c>
    </row>
    <row r="351" spans="1:4" x14ac:dyDescent="0.35">
      <c r="A351" s="3" t="s">
        <v>8522</v>
      </c>
      <c r="B351" s="3" t="s">
        <v>9316</v>
      </c>
      <c r="C351" s="3" t="str">
        <f t="shared" si="5"/>
        <v>{jsdata.months[16].absences[12].absenceType}-{jsdata.months[16].month}</v>
      </c>
      <c r="D351" s="3" t="s">
        <v>8535</v>
      </c>
    </row>
    <row r="352" spans="1:4" x14ac:dyDescent="0.35">
      <c r="A352" s="3" t="s">
        <v>8522</v>
      </c>
      <c r="B352" s="3" t="s">
        <v>9317</v>
      </c>
      <c r="C352" s="3" t="str">
        <f t="shared" si="5"/>
        <v>{jsdata.months[16].absences[13].absenceType}-{jsdata.months[16].month}</v>
      </c>
      <c r="D352" s="3" t="s">
        <v>8536</v>
      </c>
    </row>
    <row r="353" spans="1:4" x14ac:dyDescent="0.35">
      <c r="A353" s="3" t="s">
        <v>8522</v>
      </c>
      <c r="B353" s="3" t="s">
        <v>9318</v>
      </c>
      <c r="C353" s="3" t="str">
        <f t="shared" si="5"/>
        <v>{jsdata.months[16].absences[14].absenceType}-{jsdata.months[16].month}</v>
      </c>
      <c r="D353" s="3" t="s">
        <v>8537</v>
      </c>
    </row>
    <row r="354" spans="1:4" x14ac:dyDescent="0.35">
      <c r="A354" s="3" t="s">
        <v>8522</v>
      </c>
      <c r="B354" s="3" t="s">
        <v>9319</v>
      </c>
      <c r="C354" s="3" t="str">
        <f t="shared" si="5"/>
        <v>{jsdata.months[16].absences[15].absenceType}-{jsdata.months[16].month}</v>
      </c>
      <c r="D354" s="3" t="s">
        <v>8538</v>
      </c>
    </row>
    <row r="355" spans="1:4" x14ac:dyDescent="0.35">
      <c r="A355" s="3" t="s">
        <v>8522</v>
      </c>
      <c r="B355" s="3" t="s">
        <v>9320</v>
      </c>
      <c r="C355" s="3" t="str">
        <f t="shared" si="5"/>
        <v>{jsdata.months[16].absences[16].absenceType}-{jsdata.months[16].month}</v>
      </c>
      <c r="D355" s="3" t="s">
        <v>8539</v>
      </c>
    </row>
    <row r="356" spans="1:4" x14ac:dyDescent="0.35">
      <c r="A356" s="3" t="s">
        <v>8522</v>
      </c>
      <c r="B356" s="3" t="s">
        <v>9321</v>
      </c>
      <c r="C356" s="3" t="str">
        <f t="shared" si="5"/>
        <v>{jsdata.months[16].absences[17].absenceType}-{jsdata.months[16].month}</v>
      </c>
      <c r="D356" s="3" t="s">
        <v>8540</v>
      </c>
    </row>
    <row r="357" spans="1:4" x14ac:dyDescent="0.35">
      <c r="A357" s="3" t="s">
        <v>8522</v>
      </c>
      <c r="B357" s="3" t="s">
        <v>9322</v>
      </c>
      <c r="C357" s="3" t="str">
        <f t="shared" si="5"/>
        <v>{jsdata.months[16].absences[18].absenceType}-{jsdata.months[16].month}</v>
      </c>
      <c r="D357" s="3" t="s">
        <v>8541</v>
      </c>
    </row>
    <row r="358" spans="1:4" x14ac:dyDescent="0.35">
      <c r="A358" s="3" t="s">
        <v>8522</v>
      </c>
      <c r="B358" s="3" t="s">
        <v>9323</v>
      </c>
      <c r="C358" s="3" t="str">
        <f t="shared" si="5"/>
        <v>{jsdata.months[16].absences[19].absenceType}-{jsdata.months[16].month}</v>
      </c>
      <c r="D358" s="3" t="s">
        <v>8542</v>
      </c>
    </row>
    <row r="359" spans="1:4" x14ac:dyDescent="0.35">
      <c r="A359" s="3" t="s">
        <v>8522</v>
      </c>
      <c r="B359" s="3" t="s">
        <v>9724</v>
      </c>
      <c r="C359" s="3" t="str">
        <f t="shared" si="5"/>
        <v>ResourcePresenceTimeSaldo-{jsdata.months[16].month}</v>
      </c>
      <c r="D359" s="3" t="s">
        <v>8543</v>
      </c>
    </row>
    <row r="360" spans="1:4" x14ac:dyDescent="0.35">
      <c r="A360" s="3" t="s">
        <v>8544</v>
      </c>
      <c r="B360" s="3" t="s">
        <v>9324</v>
      </c>
      <c r="C360" s="3" t="str">
        <f t="shared" si="5"/>
        <v>{jsdata.months[17].absences[0].absenceType}-{jsdata.months[17].month}</v>
      </c>
      <c r="D360" s="3" t="s">
        <v>8545</v>
      </c>
    </row>
    <row r="361" spans="1:4" x14ac:dyDescent="0.35">
      <c r="A361" s="3" t="s">
        <v>8544</v>
      </c>
      <c r="B361" s="3" t="s">
        <v>9325</v>
      </c>
      <c r="C361" s="3" t="str">
        <f t="shared" si="5"/>
        <v>{jsdata.months[17].absences[1].absenceType}-{jsdata.months[17].month}</v>
      </c>
      <c r="D361" s="3" t="s">
        <v>8546</v>
      </c>
    </row>
    <row r="362" spans="1:4" x14ac:dyDescent="0.35">
      <c r="A362" s="3" t="s">
        <v>8544</v>
      </c>
      <c r="B362" s="3" t="s">
        <v>9326</v>
      </c>
      <c r="C362" s="3" t="str">
        <f t="shared" si="5"/>
        <v>{jsdata.months[17].absences[2].absenceType}-{jsdata.months[17].month}</v>
      </c>
      <c r="D362" s="3" t="s">
        <v>8547</v>
      </c>
    </row>
    <row r="363" spans="1:4" x14ac:dyDescent="0.35">
      <c r="A363" s="3" t="s">
        <v>8544</v>
      </c>
      <c r="B363" s="3" t="s">
        <v>9327</v>
      </c>
      <c r="C363" s="3" t="str">
        <f t="shared" si="5"/>
        <v>{jsdata.months[17].absences[3].absenceType}-{jsdata.months[17].month}</v>
      </c>
      <c r="D363" s="3" t="s">
        <v>8548</v>
      </c>
    </row>
    <row r="364" spans="1:4" x14ac:dyDescent="0.35">
      <c r="A364" s="3" t="s">
        <v>8544</v>
      </c>
      <c r="B364" s="3" t="s">
        <v>9328</v>
      </c>
      <c r="C364" s="3" t="str">
        <f t="shared" si="5"/>
        <v>{jsdata.months[17].absences[4].absenceType}-{jsdata.months[17].month}</v>
      </c>
      <c r="D364" s="3" t="s">
        <v>8549</v>
      </c>
    </row>
    <row r="365" spans="1:4" x14ac:dyDescent="0.35">
      <c r="A365" s="3" t="s">
        <v>8544</v>
      </c>
      <c r="B365" s="3" t="s">
        <v>9329</v>
      </c>
      <c r="C365" s="3" t="str">
        <f t="shared" si="5"/>
        <v>{jsdata.months[17].absences[5].absenceType}-{jsdata.months[17].month}</v>
      </c>
      <c r="D365" s="3" t="s">
        <v>8550</v>
      </c>
    </row>
    <row r="366" spans="1:4" x14ac:dyDescent="0.35">
      <c r="A366" s="3" t="s">
        <v>8544</v>
      </c>
      <c r="B366" s="3" t="s">
        <v>9330</v>
      </c>
      <c r="C366" s="3" t="str">
        <f t="shared" si="5"/>
        <v>{jsdata.months[17].absences[6].absenceType}-{jsdata.months[17].month}</v>
      </c>
      <c r="D366" s="3" t="s">
        <v>8551</v>
      </c>
    </row>
    <row r="367" spans="1:4" x14ac:dyDescent="0.35">
      <c r="A367" s="3" t="s">
        <v>8544</v>
      </c>
      <c r="B367" s="3" t="s">
        <v>9331</v>
      </c>
      <c r="C367" s="3" t="str">
        <f t="shared" si="5"/>
        <v>{jsdata.months[17].absences[7].absenceType}-{jsdata.months[17].month}</v>
      </c>
      <c r="D367" s="3" t="s">
        <v>8552</v>
      </c>
    </row>
    <row r="368" spans="1:4" x14ac:dyDescent="0.35">
      <c r="A368" s="3" t="s">
        <v>8544</v>
      </c>
      <c r="B368" s="3" t="s">
        <v>9332</v>
      </c>
      <c r="C368" s="3" t="str">
        <f t="shared" si="5"/>
        <v>{jsdata.months[17].absences[8].absenceType}-{jsdata.months[17].month}</v>
      </c>
      <c r="D368" s="3" t="s">
        <v>8553</v>
      </c>
    </row>
    <row r="369" spans="1:4" x14ac:dyDescent="0.35">
      <c r="A369" s="3" t="s">
        <v>8544</v>
      </c>
      <c r="B369" s="3" t="s">
        <v>9333</v>
      </c>
      <c r="C369" s="3" t="str">
        <f t="shared" si="5"/>
        <v>{jsdata.months[17].absences[9].absenceType}-{jsdata.months[17].month}</v>
      </c>
      <c r="D369" s="3" t="s">
        <v>8554</v>
      </c>
    </row>
    <row r="370" spans="1:4" x14ac:dyDescent="0.35">
      <c r="A370" s="3" t="s">
        <v>8544</v>
      </c>
      <c r="B370" s="3" t="s">
        <v>9334</v>
      </c>
      <c r="C370" s="3" t="str">
        <f t="shared" si="5"/>
        <v>{jsdata.months[17].absences[10].absenceType}-{jsdata.months[17].month}</v>
      </c>
      <c r="D370" s="3" t="s">
        <v>8555</v>
      </c>
    </row>
    <row r="371" spans="1:4" x14ac:dyDescent="0.35">
      <c r="A371" s="3" t="s">
        <v>8544</v>
      </c>
      <c r="B371" s="3" t="s">
        <v>9335</v>
      </c>
      <c r="C371" s="3" t="str">
        <f t="shared" si="5"/>
        <v>{jsdata.months[17].absences[11].absenceType}-{jsdata.months[17].month}</v>
      </c>
      <c r="D371" s="3" t="s">
        <v>8556</v>
      </c>
    </row>
    <row r="372" spans="1:4" x14ac:dyDescent="0.35">
      <c r="A372" s="3" t="s">
        <v>8544</v>
      </c>
      <c r="B372" s="3" t="s">
        <v>9336</v>
      </c>
      <c r="C372" s="3" t="str">
        <f t="shared" si="5"/>
        <v>{jsdata.months[17].absences[12].absenceType}-{jsdata.months[17].month}</v>
      </c>
      <c r="D372" s="3" t="s">
        <v>8557</v>
      </c>
    </row>
    <row r="373" spans="1:4" x14ac:dyDescent="0.35">
      <c r="A373" s="3" t="s">
        <v>8544</v>
      </c>
      <c r="B373" s="3" t="s">
        <v>9337</v>
      </c>
      <c r="C373" s="3" t="str">
        <f t="shared" si="5"/>
        <v>{jsdata.months[17].absences[13].absenceType}-{jsdata.months[17].month}</v>
      </c>
      <c r="D373" s="3" t="s">
        <v>8558</v>
      </c>
    </row>
    <row r="374" spans="1:4" x14ac:dyDescent="0.35">
      <c r="A374" s="3" t="s">
        <v>8544</v>
      </c>
      <c r="B374" s="3" t="s">
        <v>9338</v>
      </c>
      <c r="C374" s="3" t="str">
        <f t="shared" si="5"/>
        <v>{jsdata.months[17].absences[14].absenceType}-{jsdata.months[17].month}</v>
      </c>
      <c r="D374" s="3" t="s">
        <v>8559</v>
      </c>
    </row>
    <row r="375" spans="1:4" x14ac:dyDescent="0.35">
      <c r="A375" s="3" t="s">
        <v>8544</v>
      </c>
      <c r="B375" s="3" t="s">
        <v>9339</v>
      </c>
      <c r="C375" s="3" t="str">
        <f t="shared" si="5"/>
        <v>{jsdata.months[17].absences[15].absenceType}-{jsdata.months[17].month}</v>
      </c>
      <c r="D375" s="3" t="s">
        <v>8560</v>
      </c>
    </row>
    <row r="376" spans="1:4" x14ac:dyDescent="0.35">
      <c r="A376" s="3" t="s">
        <v>8544</v>
      </c>
      <c r="B376" s="3" t="s">
        <v>9340</v>
      </c>
      <c r="C376" s="3" t="str">
        <f t="shared" si="5"/>
        <v>{jsdata.months[17].absences[16].absenceType}-{jsdata.months[17].month}</v>
      </c>
      <c r="D376" s="3" t="s">
        <v>8561</v>
      </c>
    </row>
    <row r="377" spans="1:4" x14ac:dyDescent="0.35">
      <c r="A377" s="3" t="s">
        <v>8544</v>
      </c>
      <c r="B377" s="3" t="s">
        <v>9341</v>
      </c>
      <c r="C377" s="3" t="str">
        <f t="shared" si="5"/>
        <v>{jsdata.months[17].absences[17].absenceType}-{jsdata.months[17].month}</v>
      </c>
      <c r="D377" s="3" t="s">
        <v>8562</v>
      </c>
    </row>
    <row r="378" spans="1:4" x14ac:dyDescent="0.35">
      <c r="A378" s="3" t="s">
        <v>8544</v>
      </c>
      <c r="B378" s="3" t="s">
        <v>9342</v>
      </c>
      <c r="C378" s="3" t="str">
        <f t="shared" si="5"/>
        <v>{jsdata.months[17].absences[18].absenceType}-{jsdata.months[17].month}</v>
      </c>
      <c r="D378" s="3" t="s">
        <v>8563</v>
      </c>
    </row>
    <row r="379" spans="1:4" x14ac:dyDescent="0.35">
      <c r="A379" s="3" t="s">
        <v>8544</v>
      </c>
      <c r="B379" s="3" t="s">
        <v>9343</v>
      </c>
      <c r="C379" s="3" t="str">
        <f t="shared" si="5"/>
        <v>{jsdata.months[17].absences[19].absenceType}-{jsdata.months[17].month}</v>
      </c>
      <c r="D379" s="3" t="s">
        <v>8564</v>
      </c>
    </row>
    <row r="380" spans="1:4" x14ac:dyDescent="0.35">
      <c r="A380" s="3" t="s">
        <v>8544</v>
      </c>
      <c r="B380" s="3" t="s">
        <v>9724</v>
      </c>
      <c r="C380" s="3" t="str">
        <f t="shared" si="5"/>
        <v>ResourcePresenceTimeSaldo-{jsdata.months[17].month}</v>
      </c>
      <c r="D380" s="3" t="s">
        <v>8565</v>
      </c>
    </row>
    <row r="381" spans="1:4" x14ac:dyDescent="0.35">
      <c r="A381" s="3" t="s">
        <v>8566</v>
      </c>
      <c r="B381" s="3" t="s">
        <v>9344</v>
      </c>
      <c r="C381" s="3" t="str">
        <f t="shared" si="5"/>
        <v>{jsdata.months[18].absences[0].absenceType}-{jsdata.months[18].month}</v>
      </c>
      <c r="D381" s="3" t="s">
        <v>8567</v>
      </c>
    </row>
    <row r="382" spans="1:4" x14ac:dyDescent="0.35">
      <c r="A382" s="3" t="s">
        <v>8566</v>
      </c>
      <c r="B382" s="3" t="s">
        <v>9345</v>
      </c>
      <c r="C382" s="3" t="str">
        <f t="shared" si="5"/>
        <v>{jsdata.months[18].absences[1].absenceType}-{jsdata.months[18].month}</v>
      </c>
      <c r="D382" s="3" t="s">
        <v>8568</v>
      </c>
    </row>
    <row r="383" spans="1:4" x14ac:dyDescent="0.35">
      <c r="A383" s="3" t="s">
        <v>8566</v>
      </c>
      <c r="B383" s="3" t="s">
        <v>9346</v>
      </c>
      <c r="C383" s="3" t="str">
        <f t="shared" si="5"/>
        <v>{jsdata.months[18].absences[2].absenceType}-{jsdata.months[18].month}</v>
      </c>
      <c r="D383" s="3" t="s">
        <v>8569</v>
      </c>
    </row>
    <row r="384" spans="1:4" x14ac:dyDescent="0.35">
      <c r="A384" s="3" t="s">
        <v>8566</v>
      </c>
      <c r="B384" s="3" t="s">
        <v>9347</v>
      </c>
      <c r="C384" s="3" t="str">
        <f t="shared" si="5"/>
        <v>{jsdata.months[18].absences[3].absenceType}-{jsdata.months[18].month}</v>
      </c>
      <c r="D384" s="3" t="s">
        <v>8570</v>
      </c>
    </row>
    <row r="385" spans="1:4" x14ac:dyDescent="0.35">
      <c r="A385" s="3" t="s">
        <v>8566</v>
      </c>
      <c r="B385" s="3" t="s">
        <v>9348</v>
      </c>
      <c r="C385" s="3" t="str">
        <f t="shared" si="5"/>
        <v>{jsdata.months[18].absences[4].absenceType}-{jsdata.months[18].month}</v>
      </c>
      <c r="D385" s="3" t="s">
        <v>8571</v>
      </c>
    </row>
    <row r="386" spans="1:4" x14ac:dyDescent="0.35">
      <c r="A386" s="3" t="s">
        <v>8566</v>
      </c>
      <c r="B386" s="3" t="s">
        <v>9349</v>
      </c>
      <c r="C386" s="3" t="str">
        <f t="shared" si="5"/>
        <v>{jsdata.months[18].absences[5].absenceType}-{jsdata.months[18].month}</v>
      </c>
      <c r="D386" s="3" t="s">
        <v>8572</v>
      </c>
    </row>
    <row r="387" spans="1:4" x14ac:dyDescent="0.35">
      <c r="A387" s="3" t="s">
        <v>8566</v>
      </c>
      <c r="B387" s="3" t="s">
        <v>9350</v>
      </c>
      <c r="C387" s="3" t="str">
        <f t="shared" si="5"/>
        <v>{jsdata.months[18].absences[6].absenceType}-{jsdata.months[18].month}</v>
      </c>
      <c r="D387" s="3" t="s">
        <v>8573</v>
      </c>
    </row>
    <row r="388" spans="1:4" x14ac:dyDescent="0.35">
      <c r="A388" s="3" t="s">
        <v>8566</v>
      </c>
      <c r="B388" s="3" t="s">
        <v>9351</v>
      </c>
      <c r="C388" s="3" t="str">
        <f t="shared" ref="C388:C451" si="6">IF($A388&lt;&gt;"",$B388&amp;"-"&amp;$A388,"")</f>
        <v>{jsdata.months[18].absences[7].absenceType}-{jsdata.months[18].month}</v>
      </c>
      <c r="D388" s="3" t="s">
        <v>8574</v>
      </c>
    </row>
    <row r="389" spans="1:4" x14ac:dyDescent="0.35">
      <c r="A389" s="3" t="s">
        <v>8566</v>
      </c>
      <c r="B389" s="3" t="s">
        <v>9352</v>
      </c>
      <c r="C389" s="3" t="str">
        <f t="shared" si="6"/>
        <v>{jsdata.months[18].absences[8].absenceType}-{jsdata.months[18].month}</v>
      </c>
      <c r="D389" s="3" t="s">
        <v>8575</v>
      </c>
    </row>
    <row r="390" spans="1:4" x14ac:dyDescent="0.35">
      <c r="A390" s="3" t="s">
        <v>8566</v>
      </c>
      <c r="B390" s="3" t="s">
        <v>9353</v>
      </c>
      <c r="C390" s="3" t="str">
        <f t="shared" si="6"/>
        <v>{jsdata.months[18].absences[9].absenceType}-{jsdata.months[18].month}</v>
      </c>
      <c r="D390" s="3" t="s">
        <v>8576</v>
      </c>
    </row>
    <row r="391" spans="1:4" x14ac:dyDescent="0.35">
      <c r="A391" s="3" t="s">
        <v>8566</v>
      </c>
      <c r="B391" s="3" t="s">
        <v>9354</v>
      </c>
      <c r="C391" s="3" t="str">
        <f t="shared" si="6"/>
        <v>{jsdata.months[18].absences[10].absenceType}-{jsdata.months[18].month}</v>
      </c>
      <c r="D391" s="3" t="s">
        <v>8577</v>
      </c>
    </row>
    <row r="392" spans="1:4" x14ac:dyDescent="0.35">
      <c r="A392" s="3" t="s">
        <v>8566</v>
      </c>
      <c r="B392" s="3" t="s">
        <v>9355</v>
      </c>
      <c r="C392" s="3" t="str">
        <f t="shared" si="6"/>
        <v>{jsdata.months[18].absences[11].absenceType}-{jsdata.months[18].month}</v>
      </c>
      <c r="D392" s="3" t="s">
        <v>8578</v>
      </c>
    </row>
    <row r="393" spans="1:4" x14ac:dyDescent="0.35">
      <c r="A393" s="3" t="s">
        <v>8566</v>
      </c>
      <c r="B393" s="3" t="s">
        <v>9356</v>
      </c>
      <c r="C393" s="3" t="str">
        <f t="shared" si="6"/>
        <v>{jsdata.months[18].absences[12].absenceType}-{jsdata.months[18].month}</v>
      </c>
      <c r="D393" s="3" t="s">
        <v>8579</v>
      </c>
    </row>
    <row r="394" spans="1:4" x14ac:dyDescent="0.35">
      <c r="A394" s="3" t="s">
        <v>8566</v>
      </c>
      <c r="B394" s="3" t="s">
        <v>9357</v>
      </c>
      <c r="C394" s="3" t="str">
        <f t="shared" si="6"/>
        <v>{jsdata.months[18].absences[13].absenceType}-{jsdata.months[18].month}</v>
      </c>
      <c r="D394" s="3" t="s">
        <v>8580</v>
      </c>
    </row>
    <row r="395" spans="1:4" x14ac:dyDescent="0.35">
      <c r="A395" s="3" t="s">
        <v>8566</v>
      </c>
      <c r="B395" s="3" t="s">
        <v>9358</v>
      </c>
      <c r="C395" s="3" t="str">
        <f t="shared" si="6"/>
        <v>{jsdata.months[18].absences[14].absenceType}-{jsdata.months[18].month}</v>
      </c>
      <c r="D395" s="3" t="s">
        <v>8581</v>
      </c>
    </row>
    <row r="396" spans="1:4" x14ac:dyDescent="0.35">
      <c r="A396" s="3" t="s">
        <v>8566</v>
      </c>
      <c r="B396" s="3" t="s">
        <v>9359</v>
      </c>
      <c r="C396" s="3" t="str">
        <f t="shared" si="6"/>
        <v>{jsdata.months[18].absences[15].absenceType}-{jsdata.months[18].month}</v>
      </c>
      <c r="D396" s="3" t="s">
        <v>8582</v>
      </c>
    </row>
    <row r="397" spans="1:4" x14ac:dyDescent="0.35">
      <c r="A397" s="3" t="s">
        <v>8566</v>
      </c>
      <c r="B397" s="3" t="s">
        <v>9360</v>
      </c>
      <c r="C397" s="3" t="str">
        <f t="shared" si="6"/>
        <v>{jsdata.months[18].absences[16].absenceType}-{jsdata.months[18].month}</v>
      </c>
      <c r="D397" s="3" t="s">
        <v>8583</v>
      </c>
    </row>
    <row r="398" spans="1:4" x14ac:dyDescent="0.35">
      <c r="A398" s="3" t="s">
        <v>8566</v>
      </c>
      <c r="B398" s="3" t="s">
        <v>9361</v>
      </c>
      <c r="C398" s="3" t="str">
        <f t="shared" si="6"/>
        <v>{jsdata.months[18].absences[17].absenceType}-{jsdata.months[18].month}</v>
      </c>
      <c r="D398" s="3" t="s">
        <v>8584</v>
      </c>
    </row>
    <row r="399" spans="1:4" x14ac:dyDescent="0.35">
      <c r="A399" s="3" t="s">
        <v>8566</v>
      </c>
      <c r="B399" s="3" t="s">
        <v>9362</v>
      </c>
      <c r="C399" s="3" t="str">
        <f t="shared" si="6"/>
        <v>{jsdata.months[18].absences[18].absenceType}-{jsdata.months[18].month}</v>
      </c>
      <c r="D399" s="3" t="s">
        <v>8585</v>
      </c>
    </row>
    <row r="400" spans="1:4" x14ac:dyDescent="0.35">
      <c r="A400" s="3" t="s">
        <v>8566</v>
      </c>
      <c r="B400" s="3" t="s">
        <v>9363</v>
      </c>
      <c r="C400" s="3" t="str">
        <f t="shared" si="6"/>
        <v>{jsdata.months[18].absences[19].absenceType}-{jsdata.months[18].month}</v>
      </c>
      <c r="D400" s="3" t="s">
        <v>8586</v>
      </c>
    </row>
    <row r="401" spans="1:4" x14ac:dyDescent="0.35">
      <c r="A401" s="3" t="s">
        <v>8566</v>
      </c>
      <c r="B401" s="3" t="s">
        <v>9724</v>
      </c>
      <c r="C401" s="3" t="str">
        <f t="shared" si="6"/>
        <v>ResourcePresenceTimeSaldo-{jsdata.months[18].month}</v>
      </c>
      <c r="D401" s="3" t="s">
        <v>8587</v>
      </c>
    </row>
    <row r="402" spans="1:4" x14ac:dyDescent="0.35">
      <c r="A402" s="3" t="s">
        <v>8588</v>
      </c>
      <c r="B402" s="3" t="s">
        <v>9364</v>
      </c>
      <c r="C402" s="3" t="str">
        <f t="shared" si="6"/>
        <v>{jsdata.months[19].absences[0].absenceType}-{jsdata.months[19].month}</v>
      </c>
      <c r="D402" s="3" t="s">
        <v>8589</v>
      </c>
    </row>
    <row r="403" spans="1:4" x14ac:dyDescent="0.35">
      <c r="A403" s="3" t="s">
        <v>8588</v>
      </c>
      <c r="B403" s="3" t="s">
        <v>9365</v>
      </c>
      <c r="C403" s="3" t="str">
        <f t="shared" si="6"/>
        <v>{jsdata.months[19].absences[1].absenceType}-{jsdata.months[19].month}</v>
      </c>
      <c r="D403" s="3" t="s">
        <v>8590</v>
      </c>
    </row>
    <row r="404" spans="1:4" x14ac:dyDescent="0.35">
      <c r="A404" s="3" t="s">
        <v>8588</v>
      </c>
      <c r="B404" s="3" t="s">
        <v>9366</v>
      </c>
      <c r="C404" s="3" t="str">
        <f t="shared" si="6"/>
        <v>{jsdata.months[19].absences[2].absenceType}-{jsdata.months[19].month}</v>
      </c>
      <c r="D404" s="3" t="s">
        <v>8591</v>
      </c>
    </row>
    <row r="405" spans="1:4" x14ac:dyDescent="0.35">
      <c r="A405" s="3" t="s">
        <v>8588</v>
      </c>
      <c r="B405" s="3" t="s">
        <v>9367</v>
      </c>
      <c r="C405" s="3" t="str">
        <f t="shared" si="6"/>
        <v>{jsdata.months[19].absences[3].absenceType}-{jsdata.months[19].month}</v>
      </c>
      <c r="D405" s="3" t="s">
        <v>8592</v>
      </c>
    </row>
    <row r="406" spans="1:4" x14ac:dyDescent="0.35">
      <c r="A406" s="3" t="s">
        <v>8588</v>
      </c>
      <c r="B406" s="3" t="s">
        <v>9368</v>
      </c>
      <c r="C406" s="3" t="str">
        <f t="shared" si="6"/>
        <v>{jsdata.months[19].absences[4].absenceType}-{jsdata.months[19].month}</v>
      </c>
      <c r="D406" s="3" t="s">
        <v>8593</v>
      </c>
    </row>
    <row r="407" spans="1:4" x14ac:dyDescent="0.35">
      <c r="A407" s="3" t="s">
        <v>8588</v>
      </c>
      <c r="B407" s="3" t="s">
        <v>9369</v>
      </c>
      <c r="C407" s="3" t="str">
        <f t="shared" si="6"/>
        <v>{jsdata.months[19].absences[5].absenceType}-{jsdata.months[19].month}</v>
      </c>
      <c r="D407" s="3" t="s">
        <v>8594</v>
      </c>
    </row>
    <row r="408" spans="1:4" x14ac:dyDescent="0.35">
      <c r="A408" s="3" t="s">
        <v>8588</v>
      </c>
      <c r="B408" s="3" t="s">
        <v>9370</v>
      </c>
      <c r="C408" s="3" t="str">
        <f t="shared" si="6"/>
        <v>{jsdata.months[19].absences[6].absenceType}-{jsdata.months[19].month}</v>
      </c>
      <c r="D408" s="3" t="s">
        <v>8595</v>
      </c>
    </row>
    <row r="409" spans="1:4" x14ac:dyDescent="0.35">
      <c r="A409" s="3" t="s">
        <v>8588</v>
      </c>
      <c r="B409" s="3" t="s">
        <v>9371</v>
      </c>
      <c r="C409" s="3" t="str">
        <f t="shared" si="6"/>
        <v>{jsdata.months[19].absences[7].absenceType}-{jsdata.months[19].month}</v>
      </c>
      <c r="D409" s="3" t="s">
        <v>8596</v>
      </c>
    </row>
    <row r="410" spans="1:4" x14ac:dyDescent="0.35">
      <c r="A410" s="3" t="s">
        <v>8588</v>
      </c>
      <c r="B410" s="3" t="s">
        <v>9372</v>
      </c>
      <c r="C410" s="3" t="str">
        <f t="shared" si="6"/>
        <v>{jsdata.months[19].absences[8].absenceType}-{jsdata.months[19].month}</v>
      </c>
      <c r="D410" s="3" t="s">
        <v>8597</v>
      </c>
    </row>
    <row r="411" spans="1:4" x14ac:dyDescent="0.35">
      <c r="A411" s="3" t="s">
        <v>8588</v>
      </c>
      <c r="B411" s="3" t="s">
        <v>9373</v>
      </c>
      <c r="C411" s="3" t="str">
        <f t="shared" si="6"/>
        <v>{jsdata.months[19].absences[9].absenceType}-{jsdata.months[19].month}</v>
      </c>
      <c r="D411" s="3" t="s">
        <v>8598</v>
      </c>
    </row>
    <row r="412" spans="1:4" x14ac:dyDescent="0.35">
      <c r="A412" s="3" t="s">
        <v>8588</v>
      </c>
      <c r="B412" s="3" t="s">
        <v>9374</v>
      </c>
      <c r="C412" s="3" t="str">
        <f t="shared" si="6"/>
        <v>{jsdata.months[19].absences[10].absenceType}-{jsdata.months[19].month}</v>
      </c>
      <c r="D412" s="3" t="s">
        <v>8599</v>
      </c>
    </row>
    <row r="413" spans="1:4" x14ac:dyDescent="0.35">
      <c r="A413" s="3" t="s">
        <v>8588</v>
      </c>
      <c r="B413" s="3" t="s">
        <v>9375</v>
      </c>
      <c r="C413" s="3" t="str">
        <f t="shared" si="6"/>
        <v>{jsdata.months[19].absences[11].absenceType}-{jsdata.months[19].month}</v>
      </c>
      <c r="D413" s="3" t="s">
        <v>8600</v>
      </c>
    </row>
    <row r="414" spans="1:4" x14ac:dyDescent="0.35">
      <c r="A414" s="3" t="s">
        <v>8588</v>
      </c>
      <c r="B414" s="3" t="s">
        <v>9376</v>
      </c>
      <c r="C414" s="3" t="str">
        <f t="shared" si="6"/>
        <v>{jsdata.months[19].absences[12].absenceType}-{jsdata.months[19].month}</v>
      </c>
      <c r="D414" s="3" t="s">
        <v>8601</v>
      </c>
    </row>
    <row r="415" spans="1:4" x14ac:dyDescent="0.35">
      <c r="A415" s="3" t="s">
        <v>8588</v>
      </c>
      <c r="B415" s="3" t="s">
        <v>9377</v>
      </c>
      <c r="C415" s="3" t="str">
        <f t="shared" si="6"/>
        <v>{jsdata.months[19].absences[13].absenceType}-{jsdata.months[19].month}</v>
      </c>
      <c r="D415" s="3" t="s">
        <v>8602</v>
      </c>
    </row>
    <row r="416" spans="1:4" x14ac:dyDescent="0.35">
      <c r="A416" s="3" t="s">
        <v>8588</v>
      </c>
      <c r="B416" s="3" t="s">
        <v>9378</v>
      </c>
      <c r="C416" s="3" t="str">
        <f t="shared" si="6"/>
        <v>{jsdata.months[19].absences[14].absenceType}-{jsdata.months[19].month}</v>
      </c>
      <c r="D416" s="3" t="s">
        <v>8603</v>
      </c>
    </row>
    <row r="417" spans="1:4" x14ac:dyDescent="0.35">
      <c r="A417" s="3" t="s">
        <v>8588</v>
      </c>
      <c r="B417" s="3" t="s">
        <v>9379</v>
      </c>
      <c r="C417" s="3" t="str">
        <f t="shared" si="6"/>
        <v>{jsdata.months[19].absences[15].absenceType}-{jsdata.months[19].month}</v>
      </c>
      <c r="D417" s="3" t="s">
        <v>8604</v>
      </c>
    </row>
    <row r="418" spans="1:4" x14ac:dyDescent="0.35">
      <c r="A418" s="3" t="s">
        <v>8588</v>
      </c>
      <c r="B418" s="3" t="s">
        <v>9380</v>
      </c>
      <c r="C418" s="3" t="str">
        <f t="shared" si="6"/>
        <v>{jsdata.months[19].absences[16].absenceType}-{jsdata.months[19].month}</v>
      </c>
      <c r="D418" s="3" t="s">
        <v>8605</v>
      </c>
    </row>
    <row r="419" spans="1:4" x14ac:dyDescent="0.35">
      <c r="A419" s="3" t="s">
        <v>8588</v>
      </c>
      <c r="B419" s="3" t="s">
        <v>9381</v>
      </c>
      <c r="C419" s="3" t="str">
        <f t="shared" si="6"/>
        <v>{jsdata.months[19].absences[17].absenceType}-{jsdata.months[19].month}</v>
      </c>
      <c r="D419" s="3" t="s">
        <v>8606</v>
      </c>
    </row>
    <row r="420" spans="1:4" x14ac:dyDescent="0.35">
      <c r="A420" s="3" t="s">
        <v>8588</v>
      </c>
      <c r="B420" s="3" t="s">
        <v>9382</v>
      </c>
      <c r="C420" s="3" t="str">
        <f t="shared" si="6"/>
        <v>{jsdata.months[19].absences[18].absenceType}-{jsdata.months[19].month}</v>
      </c>
      <c r="D420" s="3" t="s">
        <v>8607</v>
      </c>
    </row>
    <row r="421" spans="1:4" x14ac:dyDescent="0.35">
      <c r="A421" s="3" t="s">
        <v>8588</v>
      </c>
      <c r="B421" s="3" t="s">
        <v>9383</v>
      </c>
      <c r="C421" s="3" t="str">
        <f t="shared" si="6"/>
        <v>{jsdata.months[19].absences[19].absenceType}-{jsdata.months[19].month}</v>
      </c>
      <c r="D421" s="3" t="s">
        <v>8608</v>
      </c>
    </row>
    <row r="422" spans="1:4" x14ac:dyDescent="0.35">
      <c r="A422" s="3" t="s">
        <v>8588</v>
      </c>
      <c r="B422" s="3" t="s">
        <v>9724</v>
      </c>
      <c r="C422" s="3" t="str">
        <f t="shared" si="6"/>
        <v>ResourcePresenceTimeSaldo-{jsdata.months[19].month}</v>
      </c>
      <c r="D422" s="3" t="s">
        <v>8609</v>
      </c>
    </row>
    <row r="423" spans="1:4" x14ac:dyDescent="0.35">
      <c r="A423" s="3" t="s">
        <v>8610</v>
      </c>
      <c r="B423" s="3" t="s">
        <v>9384</v>
      </c>
      <c r="C423" s="3" t="str">
        <f t="shared" si="6"/>
        <v>{jsdata.months[20].absences[0].absenceType}-{jsdata.months[20].month}</v>
      </c>
      <c r="D423" s="3" t="s">
        <v>8611</v>
      </c>
    </row>
    <row r="424" spans="1:4" x14ac:dyDescent="0.35">
      <c r="A424" s="3" t="s">
        <v>8610</v>
      </c>
      <c r="B424" s="3" t="s">
        <v>9385</v>
      </c>
      <c r="C424" s="3" t="str">
        <f t="shared" si="6"/>
        <v>{jsdata.months[20].absences[1].absenceType}-{jsdata.months[20].month}</v>
      </c>
      <c r="D424" s="3" t="s">
        <v>8612</v>
      </c>
    </row>
    <row r="425" spans="1:4" x14ac:dyDescent="0.35">
      <c r="A425" s="3" t="s">
        <v>8610</v>
      </c>
      <c r="B425" s="3" t="s">
        <v>9386</v>
      </c>
      <c r="C425" s="3" t="str">
        <f t="shared" si="6"/>
        <v>{jsdata.months[20].absences[2].absenceType}-{jsdata.months[20].month}</v>
      </c>
      <c r="D425" s="3" t="s">
        <v>8613</v>
      </c>
    </row>
    <row r="426" spans="1:4" x14ac:dyDescent="0.35">
      <c r="A426" s="3" t="s">
        <v>8610</v>
      </c>
      <c r="B426" s="3" t="s">
        <v>9387</v>
      </c>
      <c r="C426" s="3" t="str">
        <f t="shared" si="6"/>
        <v>{jsdata.months[20].absences[3].absenceType}-{jsdata.months[20].month}</v>
      </c>
      <c r="D426" s="3" t="s">
        <v>8614</v>
      </c>
    </row>
    <row r="427" spans="1:4" x14ac:dyDescent="0.35">
      <c r="A427" s="3" t="s">
        <v>8610</v>
      </c>
      <c r="B427" s="3" t="s">
        <v>9388</v>
      </c>
      <c r="C427" s="3" t="str">
        <f t="shared" si="6"/>
        <v>{jsdata.months[20].absences[4].absenceType}-{jsdata.months[20].month}</v>
      </c>
      <c r="D427" s="3" t="s">
        <v>8615</v>
      </c>
    </row>
    <row r="428" spans="1:4" x14ac:dyDescent="0.35">
      <c r="A428" s="3" t="s">
        <v>8610</v>
      </c>
      <c r="B428" s="3" t="s">
        <v>9389</v>
      </c>
      <c r="C428" s="3" t="str">
        <f t="shared" si="6"/>
        <v>{jsdata.months[20].absences[5].absenceType}-{jsdata.months[20].month}</v>
      </c>
      <c r="D428" s="3" t="s">
        <v>8616</v>
      </c>
    </row>
    <row r="429" spans="1:4" x14ac:dyDescent="0.35">
      <c r="A429" s="3" t="s">
        <v>8610</v>
      </c>
      <c r="B429" s="3" t="s">
        <v>9390</v>
      </c>
      <c r="C429" s="3" t="str">
        <f t="shared" si="6"/>
        <v>{jsdata.months[20].absences[6].absenceType}-{jsdata.months[20].month}</v>
      </c>
      <c r="D429" s="3" t="s">
        <v>8617</v>
      </c>
    </row>
    <row r="430" spans="1:4" x14ac:dyDescent="0.35">
      <c r="A430" s="3" t="s">
        <v>8610</v>
      </c>
      <c r="B430" s="3" t="s">
        <v>9391</v>
      </c>
      <c r="C430" s="3" t="str">
        <f t="shared" si="6"/>
        <v>{jsdata.months[20].absences[7].absenceType}-{jsdata.months[20].month}</v>
      </c>
      <c r="D430" s="3" t="s">
        <v>8618</v>
      </c>
    </row>
    <row r="431" spans="1:4" x14ac:dyDescent="0.35">
      <c r="A431" s="3" t="s">
        <v>8610</v>
      </c>
      <c r="B431" s="3" t="s">
        <v>9392</v>
      </c>
      <c r="C431" s="3" t="str">
        <f t="shared" si="6"/>
        <v>{jsdata.months[20].absences[8].absenceType}-{jsdata.months[20].month}</v>
      </c>
      <c r="D431" s="3" t="s">
        <v>8619</v>
      </c>
    </row>
    <row r="432" spans="1:4" x14ac:dyDescent="0.35">
      <c r="A432" s="3" t="s">
        <v>8610</v>
      </c>
      <c r="B432" s="3" t="s">
        <v>9393</v>
      </c>
      <c r="C432" s="3" t="str">
        <f t="shared" si="6"/>
        <v>{jsdata.months[20].absences[9].absenceType}-{jsdata.months[20].month}</v>
      </c>
      <c r="D432" s="3" t="s">
        <v>8620</v>
      </c>
    </row>
    <row r="433" spans="1:4" x14ac:dyDescent="0.35">
      <c r="A433" s="3" t="s">
        <v>8610</v>
      </c>
      <c r="B433" s="3" t="s">
        <v>9394</v>
      </c>
      <c r="C433" s="3" t="str">
        <f t="shared" si="6"/>
        <v>{jsdata.months[20].absences[10].absenceType}-{jsdata.months[20].month}</v>
      </c>
      <c r="D433" s="3" t="s">
        <v>8621</v>
      </c>
    </row>
    <row r="434" spans="1:4" x14ac:dyDescent="0.35">
      <c r="A434" s="3" t="s">
        <v>8610</v>
      </c>
      <c r="B434" s="3" t="s">
        <v>9395</v>
      </c>
      <c r="C434" s="3" t="str">
        <f t="shared" si="6"/>
        <v>{jsdata.months[20].absences[11].absenceType}-{jsdata.months[20].month}</v>
      </c>
      <c r="D434" s="3" t="s">
        <v>8622</v>
      </c>
    </row>
    <row r="435" spans="1:4" x14ac:dyDescent="0.35">
      <c r="A435" s="3" t="s">
        <v>8610</v>
      </c>
      <c r="B435" s="3" t="s">
        <v>9396</v>
      </c>
      <c r="C435" s="3" t="str">
        <f t="shared" si="6"/>
        <v>{jsdata.months[20].absences[12].absenceType}-{jsdata.months[20].month}</v>
      </c>
      <c r="D435" s="3" t="s">
        <v>8623</v>
      </c>
    </row>
    <row r="436" spans="1:4" x14ac:dyDescent="0.35">
      <c r="A436" s="3" t="s">
        <v>8610</v>
      </c>
      <c r="B436" s="3" t="s">
        <v>9397</v>
      </c>
      <c r="C436" s="3" t="str">
        <f t="shared" si="6"/>
        <v>{jsdata.months[20].absences[13].absenceType}-{jsdata.months[20].month}</v>
      </c>
      <c r="D436" s="3" t="s">
        <v>8624</v>
      </c>
    </row>
    <row r="437" spans="1:4" x14ac:dyDescent="0.35">
      <c r="A437" s="3" t="s">
        <v>8610</v>
      </c>
      <c r="B437" s="3" t="s">
        <v>9398</v>
      </c>
      <c r="C437" s="3" t="str">
        <f t="shared" si="6"/>
        <v>{jsdata.months[20].absences[14].absenceType}-{jsdata.months[20].month}</v>
      </c>
      <c r="D437" s="3" t="s">
        <v>8625</v>
      </c>
    </row>
    <row r="438" spans="1:4" x14ac:dyDescent="0.35">
      <c r="A438" s="3" t="s">
        <v>8610</v>
      </c>
      <c r="B438" s="3" t="s">
        <v>9399</v>
      </c>
      <c r="C438" s="3" t="str">
        <f t="shared" si="6"/>
        <v>{jsdata.months[20].absences[15].absenceType}-{jsdata.months[20].month}</v>
      </c>
      <c r="D438" s="3" t="s">
        <v>8626</v>
      </c>
    </row>
    <row r="439" spans="1:4" x14ac:dyDescent="0.35">
      <c r="A439" s="3" t="s">
        <v>8610</v>
      </c>
      <c r="B439" s="3" t="s">
        <v>9400</v>
      </c>
      <c r="C439" s="3" t="str">
        <f t="shared" si="6"/>
        <v>{jsdata.months[20].absences[16].absenceType}-{jsdata.months[20].month}</v>
      </c>
      <c r="D439" s="3" t="s">
        <v>8627</v>
      </c>
    </row>
    <row r="440" spans="1:4" x14ac:dyDescent="0.35">
      <c r="A440" s="3" t="s">
        <v>8610</v>
      </c>
      <c r="B440" s="3" t="s">
        <v>9401</v>
      </c>
      <c r="C440" s="3" t="str">
        <f t="shared" si="6"/>
        <v>{jsdata.months[20].absences[17].absenceType}-{jsdata.months[20].month}</v>
      </c>
      <c r="D440" s="3" t="s">
        <v>8628</v>
      </c>
    </row>
    <row r="441" spans="1:4" x14ac:dyDescent="0.35">
      <c r="A441" s="3" t="s">
        <v>8610</v>
      </c>
      <c r="B441" s="3" t="s">
        <v>9402</v>
      </c>
      <c r="C441" s="3" t="str">
        <f t="shared" si="6"/>
        <v>{jsdata.months[20].absences[18].absenceType}-{jsdata.months[20].month}</v>
      </c>
      <c r="D441" s="3" t="s">
        <v>8629</v>
      </c>
    </row>
    <row r="442" spans="1:4" x14ac:dyDescent="0.35">
      <c r="A442" s="3" t="s">
        <v>8610</v>
      </c>
      <c r="B442" s="3" t="s">
        <v>9403</v>
      </c>
      <c r="C442" s="3" t="str">
        <f t="shared" si="6"/>
        <v>{jsdata.months[20].absences[19].absenceType}-{jsdata.months[20].month}</v>
      </c>
      <c r="D442" s="3" t="s">
        <v>8630</v>
      </c>
    </row>
    <row r="443" spans="1:4" x14ac:dyDescent="0.35">
      <c r="A443" s="3" t="s">
        <v>8610</v>
      </c>
      <c r="B443" s="3" t="s">
        <v>9724</v>
      </c>
      <c r="C443" s="3" t="str">
        <f t="shared" si="6"/>
        <v>ResourcePresenceTimeSaldo-{jsdata.months[20].month}</v>
      </c>
      <c r="D443" s="3" t="s">
        <v>8631</v>
      </c>
    </row>
    <row r="444" spans="1:4" x14ac:dyDescent="0.35">
      <c r="A444" s="3" t="s">
        <v>8632</v>
      </c>
      <c r="B444" s="3" t="s">
        <v>9404</v>
      </c>
      <c r="C444" s="3" t="str">
        <f t="shared" si="6"/>
        <v>{jsdata.months[21].absences[0].absenceType}-{jsdata.months[21].month}</v>
      </c>
      <c r="D444" s="3" t="s">
        <v>8633</v>
      </c>
    </row>
    <row r="445" spans="1:4" x14ac:dyDescent="0.35">
      <c r="A445" s="3" t="s">
        <v>8632</v>
      </c>
      <c r="B445" s="3" t="s">
        <v>9405</v>
      </c>
      <c r="C445" s="3" t="str">
        <f t="shared" si="6"/>
        <v>{jsdata.months[21].absences[1].absenceType}-{jsdata.months[21].month}</v>
      </c>
      <c r="D445" s="3" t="s">
        <v>8634</v>
      </c>
    </row>
    <row r="446" spans="1:4" x14ac:dyDescent="0.35">
      <c r="A446" s="3" t="s">
        <v>8632</v>
      </c>
      <c r="B446" s="3" t="s">
        <v>9406</v>
      </c>
      <c r="C446" s="3" t="str">
        <f t="shared" si="6"/>
        <v>{jsdata.months[21].absences[2].absenceType}-{jsdata.months[21].month}</v>
      </c>
      <c r="D446" s="3" t="s">
        <v>8635</v>
      </c>
    </row>
    <row r="447" spans="1:4" x14ac:dyDescent="0.35">
      <c r="A447" s="3" t="s">
        <v>8632</v>
      </c>
      <c r="B447" s="3" t="s">
        <v>9407</v>
      </c>
      <c r="C447" s="3" t="str">
        <f t="shared" si="6"/>
        <v>{jsdata.months[21].absences[3].absenceType}-{jsdata.months[21].month}</v>
      </c>
      <c r="D447" s="3" t="s">
        <v>8636</v>
      </c>
    </row>
    <row r="448" spans="1:4" x14ac:dyDescent="0.35">
      <c r="A448" s="3" t="s">
        <v>8632</v>
      </c>
      <c r="B448" s="3" t="s">
        <v>9408</v>
      </c>
      <c r="C448" s="3" t="str">
        <f t="shared" si="6"/>
        <v>{jsdata.months[21].absences[4].absenceType}-{jsdata.months[21].month}</v>
      </c>
      <c r="D448" s="3" t="s">
        <v>8637</v>
      </c>
    </row>
    <row r="449" spans="1:4" x14ac:dyDescent="0.35">
      <c r="A449" s="3" t="s">
        <v>8632</v>
      </c>
      <c r="B449" s="3" t="s">
        <v>9409</v>
      </c>
      <c r="C449" s="3" t="str">
        <f t="shared" si="6"/>
        <v>{jsdata.months[21].absences[5].absenceType}-{jsdata.months[21].month}</v>
      </c>
      <c r="D449" s="3" t="s">
        <v>8638</v>
      </c>
    </row>
    <row r="450" spans="1:4" x14ac:dyDescent="0.35">
      <c r="A450" s="3" t="s">
        <v>8632</v>
      </c>
      <c r="B450" s="3" t="s">
        <v>9410</v>
      </c>
      <c r="C450" s="3" t="str">
        <f t="shared" si="6"/>
        <v>{jsdata.months[21].absences[6].absenceType}-{jsdata.months[21].month}</v>
      </c>
      <c r="D450" s="3" t="s">
        <v>8639</v>
      </c>
    </row>
    <row r="451" spans="1:4" x14ac:dyDescent="0.35">
      <c r="A451" s="3" t="s">
        <v>8632</v>
      </c>
      <c r="B451" s="3" t="s">
        <v>9411</v>
      </c>
      <c r="C451" s="3" t="str">
        <f t="shared" si="6"/>
        <v>{jsdata.months[21].absences[7].absenceType}-{jsdata.months[21].month}</v>
      </c>
      <c r="D451" s="3" t="s">
        <v>8640</v>
      </c>
    </row>
    <row r="452" spans="1:4" x14ac:dyDescent="0.35">
      <c r="A452" s="3" t="s">
        <v>8632</v>
      </c>
      <c r="B452" s="3" t="s">
        <v>9412</v>
      </c>
      <c r="C452" s="3" t="str">
        <f t="shared" ref="C452:C515" si="7">IF($A452&lt;&gt;"",$B452&amp;"-"&amp;$A452,"")</f>
        <v>{jsdata.months[21].absences[8].absenceType}-{jsdata.months[21].month}</v>
      </c>
      <c r="D452" s="3" t="s">
        <v>8641</v>
      </c>
    </row>
    <row r="453" spans="1:4" x14ac:dyDescent="0.35">
      <c r="A453" s="3" t="s">
        <v>8632</v>
      </c>
      <c r="B453" s="3" t="s">
        <v>9413</v>
      </c>
      <c r="C453" s="3" t="str">
        <f t="shared" si="7"/>
        <v>{jsdata.months[21].absences[9].absenceType}-{jsdata.months[21].month}</v>
      </c>
      <c r="D453" s="3" t="s">
        <v>8642</v>
      </c>
    </row>
    <row r="454" spans="1:4" x14ac:dyDescent="0.35">
      <c r="A454" s="3" t="s">
        <v>8632</v>
      </c>
      <c r="B454" s="3" t="s">
        <v>9414</v>
      </c>
      <c r="C454" s="3" t="str">
        <f t="shared" si="7"/>
        <v>{jsdata.months[21].absences[10].absenceType}-{jsdata.months[21].month}</v>
      </c>
      <c r="D454" s="3" t="s">
        <v>8643</v>
      </c>
    </row>
    <row r="455" spans="1:4" x14ac:dyDescent="0.35">
      <c r="A455" s="3" t="s">
        <v>8632</v>
      </c>
      <c r="B455" s="3" t="s">
        <v>9415</v>
      </c>
      <c r="C455" s="3" t="str">
        <f t="shared" si="7"/>
        <v>{jsdata.months[21].absences[11].absenceType}-{jsdata.months[21].month}</v>
      </c>
      <c r="D455" s="3" t="s">
        <v>8644</v>
      </c>
    </row>
    <row r="456" spans="1:4" x14ac:dyDescent="0.35">
      <c r="A456" s="3" t="s">
        <v>8632</v>
      </c>
      <c r="B456" s="3" t="s">
        <v>9416</v>
      </c>
      <c r="C456" s="3" t="str">
        <f t="shared" si="7"/>
        <v>{jsdata.months[21].absences[12].absenceType}-{jsdata.months[21].month}</v>
      </c>
      <c r="D456" s="3" t="s">
        <v>8645</v>
      </c>
    </row>
    <row r="457" spans="1:4" x14ac:dyDescent="0.35">
      <c r="A457" s="3" t="s">
        <v>8632</v>
      </c>
      <c r="B457" s="3" t="s">
        <v>9417</v>
      </c>
      <c r="C457" s="3" t="str">
        <f t="shared" si="7"/>
        <v>{jsdata.months[21].absences[13].absenceType}-{jsdata.months[21].month}</v>
      </c>
      <c r="D457" s="3" t="s">
        <v>8646</v>
      </c>
    </row>
    <row r="458" spans="1:4" x14ac:dyDescent="0.35">
      <c r="A458" s="3" t="s">
        <v>8632</v>
      </c>
      <c r="B458" s="3" t="s">
        <v>9418</v>
      </c>
      <c r="C458" s="3" t="str">
        <f t="shared" si="7"/>
        <v>{jsdata.months[21].absences[14].absenceType}-{jsdata.months[21].month}</v>
      </c>
      <c r="D458" s="3" t="s">
        <v>8647</v>
      </c>
    </row>
    <row r="459" spans="1:4" x14ac:dyDescent="0.35">
      <c r="A459" s="3" t="s">
        <v>8632</v>
      </c>
      <c r="B459" s="3" t="s">
        <v>9419</v>
      </c>
      <c r="C459" s="3" t="str">
        <f t="shared" si="7"/>
        <v>{jsdata.months[21].absences[15].absenceType}-{jsdata.months[21].month}</v>
      </c>
      <c r="D459" s="3" t="s">
        <v>8648</v>
      </c>
    </row>
    <row r="460" spans="1:4" x14ac:dyDescent="0.35">
      <c r="A460" s="3" t="s">
        <v>8632</v>
      </c>
      <c r="B460" s="3" t="s">
        <v>9420</v>
      </c>
      <c r="C460" s="3" t="str">
        <f t="shared" si="7"/>
        <v>{jsdata.months[21].absences[16].absenceType}-{jsdata.months[21].month}</v>
      </c>
      <c r="D460" s="3" t="s">
        <v>8649</v>
      </c>
    </row>
    <row r="461" spans="1:4" x14ac:dyDescent="0.35">
      <c r="A461" s="3" t="s">
        <v>8632</v>
      </c>
      <c r="B461" s="3" t="s">
        <v>9421</v>
      </c>
      <c r="C461" s="3" t="str">
        <f t="shared" si="7"/>
        <v>{jsdata.months[21].absences[17].absenceType}-{jsdata.months[21].month}</v>
      </c>
      <c r="D461" s="3" t="s">
        <v>8650</v>
      </c>
    </row>
    <row r="462" spans="1:4" x14ac:dyDescent="0.35">
      <c r="A462" s="3" t="s">
        <v>8632</v>
      </c>
      <c r="B462" s="3" t="s">
        <v>9422</v>
      </c>
      <c r="C462" s="3" t="str">
        <f t="shared" si="7"/>
        <v>{jsdata.months[21].absences[18].absenceType}-{jsdata.months[21].month}</v>
      </c>
      <c r="D462" s="3" t="s">
        <v>8651</v>
      </c>
    </row>
    <row r="463" spans="1:4" x14ac:dyDescent="0.35">
      <c r="A463" s="3" t="s">
        <v>8632</v>
      </c>
      <c r="B463" s="3" t="s">
        <v>9423</v>
      </c>
      <c r="C463" s="3" t="str">
        <f t="shared" si="7"/>
        <v>{jsdata.months[21].absences[19].absenceType}-{jsdata.months[21].month}</v>
      </c>
      <c r="D463" s="3" t="s">
        <v>8652</v>
      </c>
    </row>
    <row r="464" spans="1:4" x14ac:dyDescent="0.35">
      <c r="A464" s="3" t="s">
        <v>8632</v>
      </c>
      <c r="B464" s="3" t="s">
        <v>9724</v>
      </c>
      <c r="C464" s="3" t="str">
        <f t="shared" si="7"/>
        <v>ResourcePresenceTimeSaldo-{jsdata.months[21].month}</v>
      </c>
      <c r="D464" s="3" t="s">
        <v>8653</v>
      </c>
    </row>
    <row r="465" spans="1:4" x14ac:dyDescent="0.35">
      <c r="A465" s="3" t="s">
        <v>8654</v>
      </c>
      <c r="B465" s="3" t="s">
        <v>9424</v>
      </c>
      <c r="C465" s="3" t="str">
        <f t="shared" si="7"/>
        <v>{jsdata.months[22].absences[0].absenceType}-{jsdata.months[22].month}</v>
      </c>
      <c r="D465" s="3" t="s">
        <v>8655</v>
      </c>
    </row>
    <row r="466" spans="1:4" x14ac:dyDescent="0.35">
      <c r="A466" s="3" t="s">
        <v>8654</v>
      </c>
      <c r="B466" s="3" t="s">
        <v>9425</v>
      </c>
      <c r="C466" s="3" t="str">
        <f t="shared" si="7"/>
        <v>{jsdata.months[22].absences[1].absenceType}-{jsdata.months[22].month}</v>
      </c>
      <c r="D466" s="3" t="s">
        <v>8656</v>
      </c>
    </row>
    <row r="467" spans="1:4" x14ac:dyDescent="0.35">
      <c r="A467" s="3" t="s">
        <v>8654</v>
      </c>
      <c r="B467" s="3" t="s">
        <v>9426</v>
      </c>
      <c r="C467" s="3" t="str">
        <f t="shared" si="7"/>
        <v>{jsdata.months[22].absences[2].absenceType}-{jsdata.months[22].month}</v>
      </c>
      <c r="D467" s="3" t="s">
        <v>8657</v>
      </c>
    </row>
    <row r="468" spans="1:4" x14ac:dyDescent="0.35">
      <c r="A468" s="3" t="s">
        <v>8654</v>
      </c>
      <c r="B468" s="3" t="s">
        <v>9427</v>
      </c>
      <c r="C468" s="3" t="str">
        <f t="shared" si="7"/>
        <v>{jsdata.months[22].absences[3].absenceType}-{jsdata.months[22].month}</v>
      </c>
      <c r="D468" s="3" t="s">
        <v>8658</v>
      </c>
    </row>
    <row r="469" spans="1:4" x14ac:dyDescent="0.35">
      <c r="A469" s="3" t="s">
        <v>8654</v>
      </c>
      <c r="B469" s="3" t="s">
        <v>9428</v>
      </c>
      <c r="C469" s="3" t="str">
        <f t="shared" si="7"/>
        <v>{jsdata.months[22].absences[4].absenceType}-{jsdata.months[22].month}</v>
      </c>
      <c r="D469" s="3" t="s">
        <v>8659</v>
      </c>
    </row>
    <row r="470" spans="1:4" x14ac:dyDescent="0.35">
      <c r="A470" s="3" t="s">
        <v>8654</v>
      </c>
      <c r="B470" s="3" t="s">
        <v>9429</v>
      </c>
      <c r="C470" s="3" t="str">
        <f t="shared" si="7"/>
        <v>{jsdata.months[22].absences[5].absenceType}-{jsdata.months[22].month}</v>
      </c>
      <c r="D470" s="3" t="s">
        <v>8660</v>
      </c>
    </row>
    <row r="471" spans="1:4" x14ac:dyDescent="0.35">
      <c r="A471" s="3" t="s">
        <v>8654</v>
      </c>
      <c r="B471" s="3" t="s">
        <v>9430</v>
      </c>
      <c r="C471" s="3" t="str">
        <f t="shared" si="7"/>
        <v>{jsdata.months[22].absences[6].absenceType}-{jsdata.months[22].month}</v>
      </c>
      <c r="D471" s="3" t="s">
        <v>8661</v>
      </c>
    </row>
    <row r="472" spans="1:4" x14ac:dyDescent="0.35">
      <c r="A472" s="3" t="s">
        <v>8654</v>
      </c>
      <c r="B472" s="3" t="s">
        <v>9431</v>
      </c>
      <c r="C472" s="3" t="str">
        <f t="shared" si="7"/>
        <v>{jsdata.months[22].absences[7].absenceType}-{jsdata.months[22].month}</v>
      </c>
      <c r="D472" s="3" t="s">
        <v>8662</v>
      </c>
    </row>
    <row r="473" spans="1:4" x14ac:dyDescent="0.35">
      <c r="A473" s="3" t="s">
        <v>8654</v>
      </c>
      <c r="B473" s="3" t="s">
        <v>9432</v>
      </c>
      <c r="C473" s="3" t="str">
        <f t="shared" si="7"/>
        <v>{jsdata.months[22].absences[8].absenceType}-{jsdata.months[22].month}</v>
      </c>
      <c r="D473" s="3" t="s">
        <v>8663</v>
      </c>
    </row>
    <row r="474" spans="1:4" x14ac:dyDescent="0.35">
      <c r="A474" s="3" t="s">
        <v>8654</v>
      </c>
      <c r="B474" s="3" t="s">
        <v>9433</v>
      </c>
      <c r="C474" s="3" t="str">
        <f t="shared" si="7"/>
        <v>{jsdata.months[22].absences[9].absenceType}-{jsdata.months[22].month}</v>
      </c>
      <c r="D474" s="3" t="s">
        <v>8664</v>
      </c>
    </row>
    <row r="475" spans="1:4" x14ac:dyDescent="0.35">
      <c r="A475" s="3" t="s">
        <v>8654</v>
      </c>
      <c r="B475" s="3" t="s">
        <v>9434</v>
      </c>
      <c r="C475" s="3" t="str">
        <f t="shared" si="7"/>
        <v>{jsdata.months[22].absences[10].absenceType}-{jsdata.months[22].month}</v>
      </c>
      <c r="D475" s="3" t="s">
        <v>8665</v>
      </c>
    </row>
    <row r="476" spans="1:4" x14ac:dyDescent="0.35">
      <c r="A476" s="3" t="s">
        <v>8654</v>
      </c>
      <c r="B476" s="3" t="s">
        <v>9435</v>
      </c>
      <c r="C476" s="3" t="str">
        <f t="shared" si="7"/>
        <v>{jsdata.months[22].absences[11].absenceType}-{jsdata.months[22].month}</v>
      </c>
      <c r="D476" s="3" t="s">
        <v>8666</v>
      </c>
    </row>
    <row r="477" spans="1:4" x14ac:dyDescent="0.35">
      <c r="A477" s="3" t="s">
        <v>8654</v>
      </c>
      <c r="B477" s="3" t="s">
        <v>9436</v>
      </c>
      <c r="C477" s="3" t="str">
        <f t="shared" si="7"/>
        <v>{jsdata.months[22].absences[12].absenceType}-{jsdata.months[22].month}</v>
      </c>
      <c r="D477" s="3" t="s">
        <v>8667</v>
      </c>
    </row>
    <row r="478" spans="1:4" x14ac:dyDescent="0.35">
      <c r="A478" s="3" t="s">
        <v>8654</v>
      </c>
      <c r="B478" s="3" t="s">
        <v>9437</v>
      </c>
      <c r="C478" s="3" t="str">
        <f t="shared" si="7"/>
        <v>{jsdata.months[22].absences[13].absenceType}-{jsdata.months[22].month}</v>
      </c>
      <c r="D478" s="3" t="s">
        <v>8668</v>
      </c>
    </row>
    <row r="479" spans="1:4" x14ac:dyDescent="0.35">
      <c r="A479" s="3" t="s">
        <v>8654</v>
      </c>
      <c r="B479" s="3" t="s">
        <v>9438</v>
      </c>
      <c r="C479" s="3" t="str">
        <f t="shared" si="7"/>
        <v>{jsdata.months[22].absences[14].absenceType}-{jsdata.months[22].month}</v>
      </c>
      <c r="D479" s="3" t="s">
        <v>8669</v>
      </c>
    </row>
    <row r="480" spans="1:4" x14ac:dyDescent="0.35">
      <c r="A480" s="3" t="s">
        <v>8654</v>
      </c>
      <c r="B480" s="3" t="s">
        <v>9439</v>
      </c>
      <c r="C480" s="3" t="str">
        <f t="shared" si="7"/>
        <v>{jsdata.months[22].absences[15].absenceType}-{jsdata.months[22].month}</v>
      </c>
      <c r="D480" s="3" t="s">
        <v>8670</v>
      </c>
    </row>
    <row r="481" spans="1:4" x14ac:dyDescent="0.35">
      <c r="A481" s="3" t="s">
        <v>8654</v>
      </c>
      <c r="B481" s="3" t="s">
        <v>9440</v>
      </c>
      <c r="C481" s="3" t="str">
        <f t="shared" si="7"/>
        <v>{jsdata.months[22].absences[16].absenceType}-{jsdata.months[22].month}</v>
      </c>
      <c r="D481" s="3" t="s">
        <v>8671</v>
      </c>
    </row>
    <row r="482" spans="1:4" x14ac:dyDescent="0.35">
      <c r="A482" s="3" t="s">
        <v>8654</v>
      </c>
      <c r="B482" s="3" t="s">
        <v>9441</v>
      </c>
      <c r="C482" s="3" t="str">
        <f t="shared" si="7"/>
        <v>{jsdata.months[22].absences[17].absenceType}-{jsdata.months[22].month}</v>
      </c>
      <c r="D482" s="3" t="s">
        <v>8672</v>
      </c>
    </row>
    <row r="483" spans="1:4" x14ac:dyDescent="0.35">
      <c r="A483" s="3" t="s">
        <v>8654</v>
      </c>
      <c r="B483" s="3" t="s">
        <v>9442</v>
      </c>
      <c r="C483" s="3" t="str">
        <f t="shared" si="7"/>
        <v>{jsdata.months[22].absences[18].absenceType}-{jsdata.months[22].month}</v>
      </c>
      <c r="D483" s="3" t="s">
        <v>8673</v>
      </c>
    </row>
    <row r="484" spans="1:4" x14ac:dyDescent="0.35">
      <c r="A484" s="3" t="s">
        <v>8654</v>
      </c>
      <c r="B484" s="3" t="s">
        <v>9443</v>
      </c>
      <c r="C484" s="3" t="str">
        <f t="shared" si="7"/>
        <v>{jsdata.months[22].absences[19].absenceType}-{jsdata.months[22].month}</v>
      </c>
      <c r="D484" s="3" t="s">
        <v>8674</v>
      </c>
    </row>
    <row r="485" spans="1:4" x14ac:dyDescent="0.35">
      <c r="A485" s="3" t="s">
        <v>8654</v>
      </c>
      <c r="B485" s="3" t="s">
        <v>9724</v>
      </c>
      <c r="C485" s="3" t="str">
        <f t="shared" si="7"/>
        <v>ResourcePresenceTimeSaldo-{jsdata.months[22].month}</v>
      </c>
      <c r="D485" s="3" t="s">
        <v>8675</v>
      </c>
    </row>
    <row r="486" spans="1:4" x14ac:dyDescent="0.35">
      <c r="A486" s="3" t="s">
        <v>8676</v>
      </c>
      <c r="B486" s="3" t="s">
        <v>9444</v>
      </c>
      <c r="C486" s="3" t="str">
        <f t="shared" si="7"/>
        <v>{jsdata.months[23].absences[0].absenceType}-{jsdata.months[23].month}</v>
      </c>
      <c r="D486" s="3" t="s">
        <v>8677</v>
      </c>
    </row>
    <row r="487" spans="1:4" x14ac:dyDescent="0.35">
      <c r="A487" s="3" t="s">
        <v>8676</v>
      </c>
      <c r="B487" s="3" t="s">
        <v>9445</v>
      </c>
      <c r="C487" s="3" t="str">
        <f t="shared" si="7"/>
        <v>{jsdata.months[23].absences[1].absenceType}-{jsdata.months[23].month}</v>
      </c>
      <c r="D487" s="3" t="s">
        <v>8678</v>
      </c>
    </row>
    <row r="488" spans="1:4" x14ac:dyDescent="0.35">
      <c r="A488" s="3" t="s">
        <v>8676</v>
      </c>
      <c r="B488" s="3" t="s">
        <v>9446</v>
      </c>
      <c r="C488" s="3" t="str">
        <f t="shared" si="7"/>
        <v>{jsdata.months[23].absences[2].absenceType}-{jsdata.months[23].month}</v>
      </c>
      <c r="D488" s="3" t="s">
        <v>8679</v>
      </c>
    </row>
    <row r="489" spans="1:4" x14ac:dyDescent="0.35">
      <c r="A489" s="3" t="s">
        <v>8676</v>
      </c>
      <c r="B489" s="3" t="s">
        <v>9447</v>
      </c>
      <c r="C489" s="3" t="str">
        <f t="shared" si="7"/>
        <v>{jsdata.months[23].absences[3].absenceType}-{jsdata.months[23].month}</v>
      </c>
      <c r="D489" s="3" t="s">
        <v>8680</v>
      </c>
    </row>
    <row r="490" spans="1:4" x14ac:dyDescent="0.35">
      <c r="A490" s="3" t="s">
        <v>8676</v>
      </c>
      <c r="B490" s="3" t="s">
        <v>9448</v>
      </c>
      <c r="C490" s="3" t="str">
        <f t="shared" si="7"/>
        <v>{jsdata.months[23].absences[4].absenceType}-{jsdata.months[23].month}</v>
      </c>
      <c r="D490" s="3" t="s">
        <v>8681</v>
      </c>
    </row>
    <row r="491" spans="1:4" x14ac:dyDescent="0.35">
      <c r="A491" s="3" t="s">
        <v>8676</v>
      </c>
      <c r="B491" s="3" t="s">
        <v>9449</v>
      </c>
      <c r="C491" s="3" t="str">
        <f t="shared" si="7"/>
        <v>{jsdata.months[23].absences[5].absenceType}-{jsdata.months[23].month}</v>
      </c>
      <c r="D491" s="3" t="s">
        <v>8682</v>
      </c>
    </row>
    <row r="492" spans="1:4" x14ac:dyDescent="0.35">
      <c r="A492" s="3" t="s">
        <v>8676</v>
      </c>
      <c r="B492" s="3" t="s">
        <v>9450</v>
      </c>
      <c r="C492" s="3" t="str">
        <f t="shared" si="7"/>
        <v>{jsdata.months[23].absences[6].absenceType}-{jsdata.months[23].month}</v>
      </c>
      <c r="D492" s="3" t="s">
        <v>8683</v>
      </c>
    </row>
    <row r="493" spans="1:4" x14ac:dyDescent="0.35">
      <c r="A493" s="3" t="s">
        <v>8676</v>
      </c>
      <c r="B493" s="3" t="s">
        <v>9451</v>
      </c>
      <c r="C493" s="3" t="str">
        <f t="shared" si="7"/>
        <v>{jsdata.months[23].absences[7].absenceType}-{jsdata.months[23].month}</v>
      </c>
      <c r="D493" s="3" t="s">
        <v>8684</v>
      </c>
    </row>
    <row r="494" spans="1:4" x14ac:dyDescent="0.35">
      <c r="A494" s="3" t="s">
        <v>8676</v>
      </c>
      <c r="B494" s="3" t="s">
        <v>9452</v>
      </c>
      <c r="C494" s="3" t="str">
        <f t="shared" si="7"/>
        <v>{jsdata.months[23].absences[8].absenceType}-{jsdata.months[23].month}</v>
      </c>
      <c r="D494" s="3" t="s">
        <v>8685</v>
      </c>
    </row>
    <row r="495" spans="1:4" x14ac:dyDescent="0.35">
      <c r="A495" s="3" t="s">
        <v>8676</v>
      </c>
      <c r="B495" s="3" t="s">
        <v>9453</v>
      </c>
      <c r="C495" s="3" t="str">
        <f t="shared" si="7"/>
        <v>{jsdata.months[23].absences[9].absenceType}-{jsdata.months[23].month}</v>
      </c>
      <c r="D495" s="3" t="s">
        <v>8686</v>
      </c>
    </row>
    <row r="496" spans="1:4" x14ac:dyDescent="0.35">
      <c r="A496" s="3" t="s">
        <v>8676</v>
      </c>
      <c r="B496" s="3" t="s">
        <v>9454</v>
      </c>
      <c r="C496" s="3" t="str">
        <f t="shared" si="7"/>
        <v>{jsdata.months[23].absences[10].absenceType}-{jsdata.months[23].month}</v>
      </c>
      <c r="D496" s="3" t="s">
        <v>8687</v>
      </c>
    </row>
    <row r="497" spans="1:4" x14ac:dyDescent="0.35">
      <c r="A497" s="3" t="s">
        <v>8676</v>
      </c>
      <c r="B497" s="3" t="s">
        <v>9455</v>
      </c>
      <c r="C497" s="3" t="str">
        <f t="shared" si="7"/>
        <v>{jsdata.months[23].absences[11].absenceType}-{jsdata.months[23].month}</v>
      </c>
      <c r="D497" s="3" t="s">
        <v>8688</v>
      </c>
    </row>
    <row r="498" spans="1:4" x14ac:dyDescent="0.35">
      <c r="A498" s="3" t="s">
        <v>8676</v>
      </c>
      <c r="B498" s="3" t="s">
        <v>9456</v>
      </c>
      <c r="C498" s="3" t="str">
        <f t="shared" si="7"/>
        <v>{jsdata.months[23].absences[12].absenceType}-{jsdata.months[23].month}</v>
      </c>
      <c r="D498" s="3" t="s">
        <v>8689</v>
      </c>
    </row>
    <row r="499" spans="1:4" x14ac:dyDescent="0.35">
      <c r="A499" s="3" t="s">
        <v>8676</v>
      </c>
      <c r="B499" s="3" t="s">
        <v>9457</v>
      </c>
      <c r="C499" s="3" t="str">
        <f t="shared" si="7"/>
        <v>{jsdata.months[23].absences[13].absenceType}-{jsdata.months[23].month}</v>
      </c>
      <c r="D499" s="3" t="s">
        <v>8690</v>
      </c>
    </row>
    <row r="500" spans="1:4" x14ac:dyDescent="0.35">
      <c r="A500" s="3" t="s">
        <v>8676</v>
      </c>
      <c r="B500" s="3" t="s">
        <v>9458</v>
      </c>
      <c r="C500" s="3" t="str">
        <f t="shared" si="7"/>
        <v>{jsdata.months[23].absences[14].absenceType}-{jsdata.months[23].month}</v>
      </c>
      <c r="D500" s="3" t="s">
        <v>8691</v>
      </c>
    </row>
    <row r="501" spans="1:4" x14ac:dyDescent="0.35">
      <c r="A501" s="3" t="s">
        <v>8676</v>
      </c>
      <c r="B501" s="3" t="s">
        <v>9459</v>
      </c>
      <c r="C501" s="3" t="str">
        <f t="shared" si="7"/>
        <v>{jsdata.months[23].absences[15].absenceType}-{jsdata.months[23].month}</v>
      </c>
      <c r="D501" s="3" t="s">
        <v>8692</v>
      </c>
    </row>
    <row r="502" spans="1:4" x14ac:dyDescent="0.35">
      <c r="A502" s="3" t="s">
        <v>8676</v>
      </c>
      <c r="B502" s="3" t="s">
        <v>9460</v>
      </c>
      <c r="C502" s="3" t="str">
        <f t="shared" si="7"/>
        <v>{jsdata.months[23].absences[16].absenceType}-{jsdata.months[23].month}</v>
      </c>
      <c r="D502" s="3" t="s">
        <v>8693</v>
      </c>
    </row>
    <row r="503" spans="1:4" x14ac:dyDescent="0.35">
      <c r="A503" s="3" t="s">
        <v>8676</v>
      </c>
      <c r="B503" s="3" t="s">
        <v>9461</v>
      </c>
      <c r="C503" s="3" t="str">
        <f t="shared" si="7"/>
        <v>{jsdata.months[23].absences[17].absenceType}-{jsdata.months[23].month}</v>
      </c>
      <c r="D503" s="3" t="s">
        <v>8694</v>
      </c>
    </row>
    <row r="504" spans="1:4" x14ac:dyDescent="0.35">
      <c r="A504" s="3" t="s">
        <v>8676</v>
      </c>
      <c r="B504" s="3" t="s">
        <v>9462</v>
      </c>
      <c r="C504" s="3" t="str">
        <f t="shared" si="7"/>
        <v>{jsdata.months[23].absences[18].absenceType}-{jsdata.months[23].month}</v>
      </c>
      <c r="D504" s="3" t="s">
        <v>8695</v>
      </c>
    </row>
    <row r="505" spans="1:4" x14ac:dyDescent="0.35">
      <c r="A505" s="3" t="s">
        <v>8676</v>
      </c>
      <c r="B505" s="3" t="s">
        <v>9463</v>
      </c>
      <c r="C505" s="3" t="str">
        <f t="shared" si="7"/>
        <v>{jsdata.months[23].absences[19].absenceType}-{jsdata.months[23].month}</v>
      </c>
      <c r="D505" s="3" t="s">
        <v>8696</v>
      </c>
    </row>
    <row r="506" spans="1:4" x14ac:dyDescent="0.35">
      <c r="A506" s="3" t="s">
        <v>8676</v>
      </c>
      <c r="B506" s="3" t="s">
        <v>9724</v>
      </c>
      <c r="C506" s="3" t="str">
        <f t="shared" si="7"/>
        <v>ResourcePresenceTimeSaldo-{jsdata.months[23].month}</v>
      </c>
      <c r="D506" s="3" t="s">
        <v>8697</v>
      </c>
    </row>
    <row r="507" spans="1:4" x14ac:dyDescent="0.35">
      <c r="A507" s="3" t="s">
        <v>8698</v>
      </c>
      <c r="B507" s="3" t="s">
        <v>9464</v>
      </c>
      <c r="C507" s="3" t="str">
        <f t="shared" si="7"/>
        <v>{jsdata.months[24].absences[0].absenceType}-{jsdata.months[24].month}</v>
      </c>
      <c r="D507" s="3" t="s">
        <v>8699</v>
      </c>
    </row>
    <row r="508" spans="1:4" x14ac:dyDescent="0.35">
      <c r="A508" s="3" t="s">
        <v>8698</v>
      </c>
      <c r="B508" s="3" t="s">
        <v>9465</v>
      </c>
      <c r="C508" s="3" t="str">
        <f t="shared" si="7"/>
        <v>{jsdata.months[24].absences[1].absenceType}-{jsdata.months[24].month}</v>
      </c>
      <c r="D508" s="3" t="s">
        <v>8700</v>
      </c>
    </row>
    <row r="509" spans="1:4" x14ac:dyDescent="0.35">
      <c r="A509" s="3" t="s">
        <v>8698</v>
      </c>
      <c r="B509" s="3" t="s">
        <v>9466</v>
      </c>
      <c r="C509" s="3" t="str">
        <f t="shared" si="7"/>
        <v>{jsdata.months[24].absences[2].absenceType}-{jsdata.months[24].month}</v>
      </c>
      <c r="D509" s="3" t="s">
        <v>8701</v>
      </c>
    </row>
    <row r="510" spans="1:4" x14ac:dyDescent="0.35">
      <c r="A510" s="3" t="s">
        <v>8698</v>
      </c>
      <c r="B510" s="3" t="s">
        <v>9467</v>
      </c>
      <c r="C510" s="3" t="str">
        <f t="shared" si="7"/>
        <v>{jsdata.months[24].absences[3].absenceType}-{jsdata.months[24].month}</v>
      </c>
      <c r="D510" s="3" t="s">
        <v>8702</v>
      </c>
    </row>
    <row r="511" spans="1:4" x14ac:dyDescent="0.35">
      <c r="A511" s="3" t="s">
        <v>8698</v>
      </c>
      <c r="B511" s="3" t="s">
        <v>9468</v>
      </c>
      <c r="C511" s="3" t="str">
        <f t="shared" si="7"/>
        <v>{jsdata.months[24].absences[4].absenceType}-{jsdata.months[24].month}</v>
      </c>
      <c r="D511" s="3" t="s">
        <v>8703</v>
      </c>
    </row>
    <row r="512" spans="1:4" x14ac:dyDescent="0.35">
      <c r="A512" s="3" t="s">
        <v>8698</v>
      </c>
      <c r="B512" s="3" t="s">
        <v>9469</v>
      </c>
      <c r="C512" s="3" t="str">
        <f t="shared" si="7"/>
        <v>{jsdata.months[24].absences[5].absenceType}-{jsdata.months[24].month}</v>
      </c>
      <c r="D512" s="3" t="s">
        <v>8704</v>
      </c>
    </row>
    <row r="513" spans="1:4" x14ac:dyDescent="0.35">
      <c r="A513" s="3" t="s">
        <v>8698</v>
      </c>
      <c r="B513" s="3" t="s">
        <v>9470</v>
      </c>
      <c r="C513" s="3" t="str">
        <f t="shared" si="7"/>
        <v>{jsdata.months[24].absences[6].absenceType}-{jsdata.months[24].month}</v>
      </c>
      <c r="D513" s="3" t="s">
        <v>8705</v>
      </c>
    </row>
    <row r="514" spans="1:4" x14ac:dyDescent="0.35">
      <c r="A514" s="3" t="s">
        <v>8698</v>
      </c>
      <c r="B514" s="3" t="s">
        <v>9471</v>
      </c>
      <c r="C514" s="3" t="str">
        <f t="shared" si="7"/>
        <v>{jsdata.months[24].absences[7].absenceType}-{jsdata.months[24].month}</v>
      </c>
      <c r="D514" s="3" t="s">
        <v>8706</v>
      </c>
    </row>
    <row r="515" spans="1:4" x14ac:dyDescent="0.35">
      <c r="A515" s="3" t="s">
        <v>8698</v>
      </c>
      <c r="B515" s="3" t="s">
        <v>9472</v>
      </c>
      <c r="C515" s="3" t="str">
        <f t="shared" si="7"/>
        <v>{jsdata.months[24].absences[8].absenceType}-{jsdata.months[24].month}</v>
      </c>
      <c r="D515" s="3" t="s">
        <v>8707</v>
      </c>
    </row>
    <row r="516" spans="1:4" x14ac:dyDescent="0.35">
      <c r="A516" s="3" t="s">
        <v>8698</v>
      </c>
      <c r="B516" s="3" t="s">
        <v>9473</v>
      </c>
      <c r="C516" s="3" t="str">
        <f t="shared" ref="C516:C579" si="8">IF($A516&lt;&gt;"",$B516&amp;"-"&amp;$A516,"")</f>
        <v>{jsdata.months[24].absences[9].absenceType}-{jsdata.months[24].month}</v>
      </c>
      <c r="D516" s="3" t="s">
        <v>8708</v>
      </c>
    </row>
    <row r="517" spans="1:4" x14ac:dyDescent="0.35">
      <c r="A517" s="3" t="s">
        <v>8698</v>
      </c>
      <c r="B517" s="3" t="s">
        <v>9474</v>
      </c>
      <c r="C517" s="3" t="str">
        <f t="shared" si="8"/>
        <v>{jsdata.months[24].absences[10].absenceType}-{jsdata.months[24].month}</v>
      </c>
      <c r="D517" s="3" t="s">
        <v>8709</v>
      </c>
    </row>
    <row r="518" spans="1:4" x14ac:dyDescent="0.35">
      <c r="A518" s="3" t="s">
        <v>8698</v>
      </c>
      <c r="B518" s="3" t="s">
        <v>9475</v>
      </c>
      <c r="C518" s="3" t="str">
        <f t="shared" si="8"/>
        <v>{jsdata.months[24].absences[11].absenceType}-{jsdata.months[24].month}</v>
      </c>
      <c r="D518" s="3" t="s">
        <v>8710</v>
      </c>
    </row>
    <row r="519" spans="1:4" x14ac:dyDescent="0.35">
      <c r="A519" s="3" t="s">
        <v>8698</v>
      </c>
      <c r="B519" s="3" t="s">
        <v>9476</v>
      </c>
      <c r="C519" s="3" t="str">
        <f t="shared" si="8"/>
        <v>{jsdata.months[24].absences[12].absenceType}-{jsdata.months[24].month}</v>
      </c>
      <c r="D519" s="3" t="s">
        <v>8711</v>
      </c>
    </row>
    <row r="520" spans="1:4" x14ac:dyDescent="0.35">
      <c r="A520" s="3" t="s">
        <v>8698</v>
      </c>
      <c r="B520" s="3" t="s">
        <v>9477</v>
      </c>
      <c r="C520" s="3" t="str">
        <f t="shared" si="8"/>
        <v>{jsdata.months[24].absences[13].absenceType}-{jsdata.months[24].month}</v>
      </c>
      <c r="D520" s="3" t="s">
        <v>8712</v>
      </c>
    </row>
    <row r="521" spans="1:4" x14ac:dyDescent="0.35">
      <c r="A521" s="3" t="s">
        <v>8698</v>
      </c>
      <c r="B521" s="3" t="s">
        <v>9478</v>
      </c>
      <c r="C521" s="3" t="str">
        <f t="shared" si="8"/>
        <v>{jsdata.months[24].absences[14].absenceType}-{jsdata.months[24].month}</v>
      </c>
      <c r="D521" s="3" t="s">
        <v>8713</v>
      </c>
    </row>
    <row r="522" spans="1:4" x14ac:dyDescent="0.35">
      <c r="A522" s="3" t="s">
        <v>8698</v>
      </c>
      <c r="B522" s="3" t="s">
        <v>9479</v>
      </c>
      <c r="C522" s="3" t="str">
        <f t="shared" si="8"/>
        <v>{jsdata.months[24].absences[15].absenceType}-{jsdata.months[24].month}</v>
      </c>
      <c r="D522" s="3" t="s">
        <v>8714</v>
      </c>
    </row>
    <row r="523" spans="1:4" x14ac:dyDescent="0.35">
      <c r="A523" s="3" t="s">
        <v>8698</v>
      </c>
      <c r="B523" s="3" t="s">
        <v>9480</v>
      </c>
      <c r="C523" s="3" t="str">
        <f t="shared" si="8"/>
        <v>{jsdata.months[24].absences[16].absenceType}-{jsdata.months[24].month}</v>
      </c>
      <c r="D523" s="3" t="s">
        <v>8715</v>
      </c>
    </row>
    <row r="524" spans="1:4" x14ac:dyDescent="0.35">
      <c r="A524" s="3" t="s">
        <v>8698</v>
      </c>
      <c r="B524" s="3" t="s">
        <v>9481</v>
      </c>
      <c r="C524" s="3" t="str">
        <f t="shared" si="8"/>
        <v>{jsdata.months[24].absences[17].absenceType}-{jsdata.months[24].month}</v>
      </c>
      <c r="D524" s="3" t="s">
        <v>8716</v>
      </c>
    </row>
    <row r="525" spans="1:4" x14ac:dyDescent="0.35">
      <c r="A525" s="3" t="s">
        <v>8698</v>
      </c>
      <c r="B525" s="3" t="s">
        <v>9482</v>
      </c>
      <c r="C525" s="3" t="str">
        <f t="shared" si="8"/>
        <v>{jsdata.months[24].absences[18].absenceType}-{jsdata.months[24].month}</v>
      </c>
      <c r="D525" s="3" t="s">
        <v>8717</v>
      </c>
    </row>
    <row r="526" spans="1:4" x14ac:dyDescent="0.35">
      <c r="A526" s="3" t="s">
        <v>8698</v>
      </c>
      <c r="B526" s="3" t="s">
        <v>9483</v>
      </c>
      <c r="C526" s="3" t="str">
        <f t="shared" si="8"/>
        <v>{jsdata.months[24].absences[19].absenceType}-{jsdata.months[24].month}</v>
      </c>
      <c r="D526" s="3" t="s">
        <v>8718</v>
      </c>
    </row>
    <row r="527" spans="1:4" x14ac:dyDescent="0.35">
      <c r="A527" s="3" t="s">
        <v>8698</v>
      </c>
      <c r="B527" s="3" t="s">
        <v>9724</v>
      </c>
      <c r="C527" s="3" t="str">
        <f t="shared" si="8"/>
        <v>ResourcePresenceTimeSaldo-{jsdata.months[24].month}</v>
      </c>
      <c r="D527" s="3" t="s">
        <v>8719</v>
      </c>
    </row>
    <row r="528" spans="1:4" x14ac:dyDescent="0.35">
      <c r="A528" s="3" t="s">
        <v>8720</v>
      </c>
      <c r="B528" s="3" t="s">
        <v>9484</v>
      </c>
      <c r="C528" s="3" t="str">
        <f t="shared" si="8"/>
        <v>{jsdata.months[25].absences[0].absenceType}-{jsdata.months[25].month}</v>
      </c>
      <c r="D528" s="3" t="s">
        <v>8721</v>
      </c>
    </row>
    <row r="529" spans="1:4" x14ac:dyDescent="0.35">
      <c r="A529" s="3" t="s">
        <v>8720</v>
      </c>
      <c r="B529" s="3" t="s">
        <v>9485</v>
      </c>
      <c r="C529" s="3" t="str">
        <f t="shared" si="8"/>
        <v>{jsdata.months[25].absences[1].absenceType}-{jsdata.months[25].month}</v>
      </c>
      <c r="D529" s="3" t="s">
        <v>8722</v>
      </c>
    </row>
    <row r="530" spans="1:4" x14ac:dyDescent="0.35">
      <c r="A530" s="3" t="s">
        <v>8720</v>
      </c>
      <c r="B530" s="3" t="s">
        <v>9486</v>
      </c>
      <c r="C530" s="3" t="str">
        <f t="shared" si="8"/>
        <v>{jsdata.months[25].absences[2].absenceType}-{jsdata.months[25].month}</v>
      </c>
      <c r="D530" s="3" t="s">
        <v>8723</v>
      </c>
    </row>
    <row r="531" spans="1:4" x14ac:dyDescent="0.35">
      <c r="A531" s="3" t="s">
        <v>8720</v>
      </c>
      <c r="B531" s="3" t="s">
        <v>9487</v>
      </c>
      <c r="C531" s="3" t="str">
        <f t="shared" si="8"/>
        <v>{jsdata.months[25].absences[3].absenceType}-{jsdata.months[25].month}</v>
      </c>
      <c r="D531" s="3" t="s">
        <v>8724</v>
      </c>
    </row>
    <row r="532" spans="1:4" x14ac:dyDescent="0.35">
      <c r="A532" s="3" t="s">
        <v>8720</v>
      </c>
      <c r="B532" s="3" t="s">
        <v>9488</v>
      </c>
      <c r="C532" s="3" t="str">
        <f t="shared" si="8"/>
        <v>{jsdata.months[25].absences[4].absenceType}-{jsdata.months[25].month}</v>
      </c>
      <c r="D532" s="3" t="s">
        <v>8725</v>
      </c>
    </row>
    <row r="533" spans="1:4" x14ac:dyDescent="0.35">
      <c r="A533" s="3" t="s">
        <v>8720</v>
      </c>
      <c r="B533" s="3" t="s">
        <v>9489</v>
      </c>
      <c r="C533" s="3" t="str">
        <f t="shared" si="8"/>
        <v>{jsdata.months[25].absences[5].absenceType}-{jsdata.months[25].month}</v>
      </c>
      <c r="D533" s="3" t="s">
        <v>8726</v>
      </c>
    </row>
    <row r="534" spans="1:4" x14ac:dyDescent="0.35">
      <c r="A534" s="3" t="s">
        <v>8720</v>
      </c>
      <c r="B534" s="3" t="s">
        <v>9490</v>
      </c>
      <c r="C534" s="3" t="str">
        <f t="shared" si="8"/>
        <v>{jsdata.months[25].absences[6].absenceType}-{jsdata.months[25].month}</v>
      </c>
      <c r="D534" s="3" t="s">
        <v>8727</v>
      </c>
    </row>
    <row r="535" spans="1:4" x14ac:dyDescent="0.35">
      <c r="A535" s="3" t="s">
        <v>8720</v>
      </c>
      <c r="B535" s="3" t="s">
        <v>9491</v>
      </c>
      <c r="C535" s="3" t="str">
        <f t="shared" si="8"/>
        <v>{jsdata.months[25].absences[7].absenceType}-{jsdata.months[25].month}</v>
      </c>
      <c r="D535" s="3" t="s">
        <v>8728</v>
      </c>
    </row>
    <row r="536" spans="1:4" x14ac:dyDescent="0.35">
      <c r="A536" s="3" t="s">
        <v>8720</v>
      </c>
      <c r="B536" s="3" t="s">
        <v>9492</v>
      </c>
      <c r="C536" s="3" t="str">
        <f t="shared" si="8"/>
        <v>{jsdata.months[25].absences[8].absenceType}-{jsdata.months[25].month}</v>
      </c>
      <c r="D536" s="3" t="s">
        <v>8729</v>
      </c>
    </row>
    <row r="537" spans="1:4" x14ac:dyDescent="0.35">
      <c r="A537" s="3" t="s">
        <v>8720</v>
      </c>
      <c r="B537" s="3" t="s">
        <v>9493</v>
      </c>
      <c r="C537" s="3" t="str">
        <f t="shared" si="8"/>
        <v>{jsdata.months[25].absences[9].absenceType}-{jsdata.months[25].month}</v>
      </c>
      <c r="D537" s="3" t="s">
        <v>8730</v>
      </c>
    </row>
    <row r="538" spans="1:4" x14ac:dyDescent="0.35">
      <c r="A538" s="3" t="s">
        <v>8720</v>
      </c>
      <c r="B538" s="3" t="s">
        <v>9494</v>
      </c>
      <c r="C538" s="3" t="str">
        <f t="shared" si="8"/>
        <v>{jsdata.months[25].absences[10].absenceType}-{jsdata.months[25].month}</v>
      </c>
      <c r="D538" s="3" t="s">
        <v>8731</v>
      </c>
    </row>
    <row r="539" spans="1:4" x14ac:dyDescent="0.35">
      <c r="A539" s="3" t="s">
        <v>8720</v>
      </c>
      <c r="B539" s="3" t="s">
        <v>9495</v>
      </c>
      <c r="C539" s="3" t="str">
        <f t="shared" si="8"/>
        <v>{jsdata.months[25].absences[11].absenceType}-{jsdata.months[25].month}</v>
      </c>
      <c r="D539" s="3" t="s">
        <v>8732</v>
      </c>
    </row>
    <row r="540" spans="1:4" x14ac:dyDescent="0.35">
      <c r="A540" s="3" t="s">
        <v>8720</v>
      </c>
      <c r="B540" s="3" t="s">
        <v>9496</v>
      </c>
      <c r="C540" s="3" t="str">
        <f t="shared" si="8"/>
        <v>{jsdata.months[25].absences[12].absenceType}-{jsdata.months[25].month}</v>
      </c>
      <c r="D540" s="3" t="s">
        <v>8733</v>
      </c>
    </row>
    <row r="541" spans="1:4" x14ac:dyDescent="0.35">
      <c r="A541" s="3" t="s">
        <v>8720</v>
      </c>
      <c r="B541" s="3" t="s">
        <v>9497</v>
      </c>
      <c r="C541" s="3" t="str">
        <f t="shared" si="8"/>
        <v>{jsdata.months[25].absences[13].absenceType}-{jsdata.months[25].month}</v>
      </c>
      <c r="D541" s="3" t="s">
        <v>8734</v>
      </c>
    </row>
    <row r="542" spans="1:4" x14ac:dyDescent="0.35">
      <c r="A542" s="3" t="s">
        <v>8720</v>
      </c>
      <c r="B542" s="3" t="s">
        <v>9498</v>
      </c>
      <c r="C542" s="3" t="str">
        <f t="shared" si="8"/>
        <v>{jsdata.months[25].absences[14].absenceType}-{jsdata.months[25].month}</v>
      </c>
      <c r="D542" s="3" t="s">
        <v>8735</v>
      </c>
    </row>
    <row r="543" spans="1:4" x14ac:dyDescent="0.35">
      <c r="A543" s="3" t="s">
        <v>8720</v>
      </c>
      <c r="B543" s="3" t="s">
        <v>9499</v>
      </c>
      <c r="C543" s="3" t="str">
        <f t="shared" si="8"/>
        <v>{jsdata.months[25].absences[15].absenceType}-{jsdata.months[25].month}</v>
      </c>
      <c r="D543" s="3" t="s">
        <v>8736</v>
      </c>
    </row>
    <row r="544" spans="1:4" x14ac:dyDescent="0.35">
      <c r="A544" s="3" t="s">
        <v>8720</v>
      </c>
      <c r="B544" s="3" t="s">
        <v>9500</v>
      </c>
      <c r="C544" s="3" t="str">
        <f t="shared" si="8"/>
        <v>{jsdata.months[25].absences[16].absenceType}-{jsdata.months[25].month}</v>
      </c>
      <c r="D544" s="3" t="s">
        <v>8737</v>
      </c>
    </row>
    <row r="545" spans="1:4" x14ac:dyDescent="0.35">
      <c r="A545" s="3" t="s">
        <v>8720</v>
      </c>
      <c r="B545" s="3" t="s">
        <v>9501</v>
      </c>
      <c r="C545" s="3" t="str">
        <f t="shared" si="8"/>
        <v>{jsdata.months[25].absences[17].absenceType}-{jsdata.months[25].month}</v>
      </c>
      <c r="D545" s="3" t="s">
        <v>8738</v>
      </c>
    </row>
    <row r="546" spans="1:4" x14ac:dyDescent="0.35">
      <c r="A546" s="3" t="s">
        <v>8720</v>
      </c>
      <c r="B546" s="3" t="s">
        <v>9502</v>
      </c>
      <c r="C546" s="3" t="str">
        <f t="shared" si="8"/>
        <v>{jsdata.months[25].absences[18].absenceType}-{jsdata.months[25].month}</v>
      </c>
      <c r="D546" s="3" t="s">
        <v>8739</v>
      </c>
    </row>
    <row r="547" spans="1:4" x14ac:dyDescent="0.35">
      <c r="A547" s="3" t="s">
        <v>8720</v>
      </c>
      <c r="B547" s="3" t="s">
        <v>9503</v>
      </c>
      <c r="C547" s="3" t="str">
        <f t="shared" si="8"/>
        <v>{jsdata.months[25].absences[19].absenceType}-{jsdata.months[25].month}</v>
      </c>
      <c r="D547" s="3" t="s">
        <v>8740</v>
      </c>
    </row>
    <row r="548" spans="1:4" x14ac:dyDescent="0.35">
      <c r="A548" s="3" t="s">
        <v>8720</v>
      </c>
      <c r="B548" s="3" t="s">
        <v>9724</v>
      </c>
      <c r="C548" s="3" t="str">
        <f t="shared" si="8"/>
        <v>ResourcePresenceTimeSaldo-{jsdata.months[25].month}</v>
      </c>
      <c r="D548" s="3" t="s">
        <v>8741</v>
      </c>
    </row>
    <row r="549" spans="1:4" x14ac:dyDescent="0.35">
      <c r="A549" s="3" t="s">
        <v>8742</v>
      </c>
      <c r="B549" s="3" t="s">
        <v>9504</v>
      </c>
      <c r="C549" s="3" t="str">
        <f t="shared" si="8"/>
        <v>{jsdata.months[26].absences[0].absenceType}-{jsdata.months[26].month}</v>
      </c>
      <c r="D549" s="3" t="s">
        <v>8743</v>
      </c>
    </row>
    <row r="550" spans="1:4" x14ac:dyDescent="0.35">
      <c r="A550" s="3" t="s">
        <v>8742</v>
      </c>
      <c r="B550" s="3" t="s">
        <v>9505</v>
      </c>
      <c r="C550" s="3" t="str">
        <f t="shared" si="8"/>
        <v>{jsdata.months[26].absences[1].absenceType}-{jsdata.months[26].month}</v>
      </c>
      <c r="D550" s="3" t="s">
        <v>8744</v>
      </c>
    </row>
    <row r="551" spans="1:4" x14ac:dyDescent="0.35">
      <c r="A551" s="3" t="s">
        <v>8742</v>
      </c>
      <c r="B551" s="3" t="s">
        <v>9506</v>
      </c>
      <c r="C551" s="3" t="str">
        <f t="shared" si="8"/>
        <v>{jsdata.months[26].absences[2].absenceType}-{jsdata.months[26].month}</v>
      </c>
      <c r="D551" s="3" t="s">
        <v>8745</v>
      </c>
    </row>
    <row r="552" spans="1:4" x14ac:dyDescent="0.35">
      <c r="A552" s="3" t="s">
        <v>8742</v>
      </c>
      <c r="B552" s="3" t="s">
        <v>9507</v>
      </c>
      <c r="C552" s="3" t="str">
        <f t="shared" si="8"/>
        <v>{jsdata.months[26].absences[3].absenceType}-{jsdata.months[26].month}</v>
      </c>
      <c r="D552" s="3" t="s">
        <v>8746</v>
      </c>
    </row>
    <row r="553" spans="1:4" x14ac:dyDescent="0.35">
      <c r="A553" s="3" t="s">
        <v>8742</v>
      </c>
      <c r="B553" s="3" t="s">
        <v>9508</v>
      </c>
      <c r="C553" s="3" t="str">
        <f t="shared" si="8"/>
        <v>{jsdata.months[26].absences[4].absenceType}-{jsdata.months[26].month}</v>
      </c>
      <c r="D553" s="3" t="s">
        <v>8747</v>
      </c>
    </row>
    <row r="554" spans="1:4" x14ac:dyDescent="0.35">
      <c r="A554" s="3" t="s">
        <v>8742</v>
      </c>
      <c r="B554" s="3" t="s">
        <v>9509</v>
      </c>
      <c r="C554" s="3" t="str">
        <f t="shared" si="8"/>
        <v>{jsdata.months[26].absences[5].absenceType}-{jsdata.months[26].month}</v>
      </c>
      <c r="D554" s="3" t="s">
        <v>8748</v>
      </c>
    </row>
    <row r="555" spans="1:4" x14ac:dyDescent="0.35">
      <c r="A555" s="3" t="s">
        <v>8742</v>
      </c>
      <c r="B555" s="3" t="s">
        <v>9510</v>
      </c>
      <c r="C555" s="3" t="str">
        <f t="shared" si="8"/>
        <v>{jsdata.months[26].absences[6].absenceType}-{jsdata.months[26].month}</v>
      </c>
      <c r="D555" s="3" t="s">
        <v>8749</v>
      </c>
    </row>
    <row r="556" spans="1:4" x14ac:dyDescent="0.35">
      <c r="A556" s="3" t="s">
        <v>8742</v>
      </c>
      <c r="B556" s="3" t="s">
        <v>9511</v>
      </c>
      <c r="C556" s="3" t="str">
        <f t="shared" si="8"/>
        <v>{jsdata.months[26].absences[7].absenceType}-{jsdata.months[26].month}</v>
      </c>
      <c r="D556" s="3" t="s">
        <v>8750</v>
      </c>
    </row>
    <row r="557" spans="1:4" x14ac:dyDescent="0.35">
      <c r="A557" s="3" t="s">
        <v>8742</v>
      </c>
      <c r="B557" s="3" t="s">
        <v>9512</v>
      </c>
      <c r="C557" s="3" t="str">
        <f t="shared" si="8"/>
        <v>{jsdata.months[26].absences[8].absenceType}-{jsdata.months[26].month}</v>
      </c>
      <c r="D557" s="3" t="s">
        <v>8751</v>
      </c>
    </row>
    <row r="558" spans="1:4" x14ac:dyDescent="0.35">
      <c r="A558" s="3" t="s">
        <v>8742</v>
      </c>
      <c r="B558" s="3" t="s">
        <v>9513</v>
      </c>
      <c r="C558" s="3" t="str">
        <f t="shared" si="8"/>
        <v>{jsdata.months[26].absences[9].absenceType}-{jsdata.months[26].month}</v>
      </c>
      <c r="D558" s="3" t="s">
        <v>8752</v>
      </c>
    </row>
    <row r="559" spans="1:4" x14ac:dyDescent="0.35">
      <c r="A559" s="3" t="s">
        <v>8742</v>
      </c>
      <c r="B559" s="3" t="s">
        <v>9514</v>
      </c>
      <c r="C559" s="3" t="str">
        <f t="shared" si="8"/>
        <v>{jsdata.months[26].absences[10].absenceType}-{jsdata.months[26].month}</v>
      </c>
      <c r="D559" s="3" t="s">
        <v>8753</v>
      </c>
    </row>
    <row r="560" spans="1:4" x14ac:dyDescent="0.35">
      <c r="A560" s="3" t="s">
        <v>8742</v>
      </c>
      <c r="B560" s="3" t="s">
        <v>9515</v>
      </c>
      <c r="C560" s="3" t="str">
        <f t="shared" si="8"/>
        <v>{jsdata.months[26].absences[11].absenceType}-{jsdata.months[26].month}</v>
      </c>
      <c r="D560" s="3" t="s">
        <v>8754</v>
      </c>
    </row>
    <row r="561" spans="1:4" x14ac:dyDescent="0.35">
      <c r="A561" s="3" t="s">
        <v>8742</v>
      </c>
      <c r="B561" s="3" t="s">
        <v>9516</v>
      </c>
      <c r="C561" s="3" t="str">
        <f t="shared" si="8"/>
        <v>{jsdata.months[26].absences[12].absenceType}-{jsdata.months[26].month}</v>
      </c>
      <c r="D561" s="3" t="s">
        <v>8755</v>
      </c>
    </row>
    <row r="562" spans="1:4" x14ac:dyDescent="0.35">
      <c r="A562" s="3" t="s">
        <v>8742</v>
      </c>
      <c r="B562" s="3" t="s">
        <v>9517</v>
      </c>
      <c r="C562" s="3" t="str">
        <f t="shared" si="8"/>
        <v>{jsdata.months[26].absences[13].absenceType}-{jsdata.months[26].month}</v>
      </c>
      <c r="D562" s="3" t="s">
        <v>8756</v>
      </c>
    </row>
    <row r="563" spans="1:4" x14ac:dyDescent="0.35">
      <c r="A563" s="3" t="s">
        <v>8742</v>
      </c>
      <c r="B563" s="3" t="s">
        <v>9518</v>
      </c>
      <c r="C563" s="3" t="str">
        <f t="shared" si="8"/>
        <v>{jsdata.months[26].absences[14].absenceType}-{jsdata.months[26].month}</v>
      </c>
      <c r="D563" s="3" t="s">
        <v>8757</v>
      </c>
    </row>
    <row r="564" spans="1:4" x14ac:dyDescent="0.35">
      <c r="A564" s="3" t="s">
        <v>8742</v>
      </c>
      <c r="B564" s="3" t="s">
        <v>9519</v>
      </c>
      <c r="C564" s="3" t="str">
        <f t="shared" si="8"/>
        <v>{jsdata.months[26].absences[15].absenceType}-{jsdata.months[26].month}</v>
      </c>
      <c r="D564" s="3" t="s">
        <v>8758</v>
      </c>
    </row>
    <row r="565" spans="1:4" x14ac:dyDescent="0.35">
      <c r="A565" s="3" t="s">
        <v>8742</v>
      </c>
      <c r="B565" s="3" t="s">
        <v>9520</v>
      </c>
      <c r="C565" s="3" t="str">
        <f t="shared" si="8"/>
        <v>{jsdata.months[26].absences[16].absenceType}-{jsdata.months[26].month}</v>
      </c>
      <c r="D565" s="3" t="s">
        <v>8759</v>
      </c>
    </row>
    <row r="566" spans="1:4" x14ac:dyDescent="0.35">
      <c r="A566" s="3" t="s">
        <v>8742</v>
      </c>
      <c r="B566" s="3" t="s">
        <v>9521</v>
      </c>
      <c r="C566" s="3" t="str">
        <f t="shared" si="8"/>
        <v>{jsdata.months[26].absences[17].absenceType}-{jsdata.months[26].month}</v>
      </c>
      <c r="D566" s="3" t="s">
        <v>8760</v>
      </c>
    </row>
    <row r="567" spans="1:4" x14ac:dyDescent="0.35">
      <c r="A567" s="3" t="s">
        <v>8742</v>
      </c>
      <c r="B567" s="3" t="s">
        <v>9522</v>
      </c>
      <c r="C567" s="3" t="str">
        <f t="shared" si="8"/>
        <v>{jsdata.months[26].absences[18].absenceType}-{jsdata.months[26].month}</v>
      </c>
      <c r="D567" s="3" t="s">
        <v>8761</v>
      </c>
    </row>
    <row r="568" spans="1:4" x14ac:dyDescent="0.35">
      <c r="A568" s="3" t="s">
        <v>8742</v>
      </c>
      <c r="B568" s="3" t="s">
        <v>9523</v>
      </c>
      <c r="C568" s="3" t="str">
        <f t="shared" si="8"/>
        <v>{jsdata.months[26].absences[19].absenceType}-{jsdata.months[26].month}</v>
      </c>
      <c r="D568" s="3" t="s">
        <v>8762</v>
      </c>
    </row>
    <row r="569" spans="1:4" x14ac:dyDescent="0.35">
      <c r="A569" s="3" t="s">
        <v>8742</v>
      </c>
      <c r="B569" s="3" t="s">
        <v>9724</v>
      </c>
      <c r="C569" s="3" t="str">
        <f t="shared" si="8"/>
        <v>ResourcePresenceTimeSaldo-{jsdata.months[26].month}</v>
      </c>
      <c r="D569" s="3" t="s">
        <v>8763</v>
      </c>
    </row>
    <row r="570" spans="1:4" x14ac:dyDescent="0.35">
      <c r="A570" s="3" t="s">
        <v>8764</v>
      </c>
      <c r="B570" s="3" t="s">
        <v>9524</v>
      </c>
      <c r="C570" s="3" t="str">
        <f t="shared" si="8"/>
        <v>{jsdata.months[27].absences[0].absenceType}-{jsdata.months[27].month}</v>
      </c>
      <c r="D570" s="3" t="s">
        <v>8765</v>
      </c>
    </row>
    <row r="571" spans="1:4" x14ac:dyDescent="0.35">
      <c r="A571" s="3" t="s">
        <v>8764</v>
      </c>
      <c r="B571" s="3" t="s">
        <v>9525</v>
      </c>
      <c r="C571" s="3" t="str">
        <f t="shared" si="8"/>
        <v>{jsdata.months[27].absences[1].absenceType}-{jsdata.months[27].month}</v>
      </c>
      <c r="D571" s="3" t="s">
        <v>8766</v>
      </c>
    </row>
    <row r="572" spans="1:4" x14ac:dyDescent="0.35">
      <c r="A572" s="3" t="s">
        <v>8764</v>
      </c>
      <c r="B572" s="3" t="s">
        <v>9526</v>
      </c>
      <c r="C572" s="3" t="str">
        <f t="shared" si="8"/>
        <v>{jsdata.months[27].absences[2].absenceType}-{jsdata.months[27].month}</v>
      </c>
      <c r="D572" s="3" t="s">
        <v>8767</v>
      </c>
    </row>
    <row r="573" spans="1:4" x14ac:dyDescent="0.35">
      <c r="A573" s="3" t="s">
        <v>8764</v>
      </c>
      <c r="B573" s="3" t="s">
        <v>9527</v>
      </c>
      <c r="C573" s="3" t="str">
        <f t="shared" si="8"/>
        <v>{jsdata.months[27].absences[3].absenceType}-{jsdata.months[27].month}</v>
      </c>
      <c r="D573" s="3" t="s">
        <v>8768</v>
      </c>
    </row>
    <row r="574" spans="1:4" x14ac:dyDescent="0.35">
      <c r="A574" s="3" t="s">
        <v>8764</v>
      </c>
      <c r="B574" s="3" t="s">
        <v>9528</v>
      </c>
      <c r="C574" s="3" t="str">
        <f t="shared" si="8"/>
        <v>{jsdata.months[27].absences[4].absenceType}-{jsdata.months[27].month}</v>
      </c>
      <c r="D574" s="3" t="s">
        <v>8769</v>
      </c>
    </row>
    <row r="575" spans="1:4" x14ac:dyDescent="0.35">
      <c r="A575" s="3" t="s">
        <v>8764</v>
      </c>
      <c r="B575" s="3" t="s">
        <v>9529</v>
      </c>
      <c r="C575" s="3" t="str">
        <f t="shared" si="8"/>
        <v>{jsdata.months[27].absences[5].absenceType}-{jsdata.months[27].month}</v>
      </c>
      <c r="D575" s="3" t="s">
        <v>8770</v>
      </c>
    </row>
    <row r="576" spans="1:4" x14ac:dyDescent="0.35">
      <c r="A576" s="3" t="s">
        <v>8764</v>
      </c>
      <c r="B576" s="3" t="s">
        <v>9530</v>
      </c>
      <c r="C576" s="3" t="str">
        <f t="shared" si="8"/>
        <v>{jsdata.months[27].absences[6].absenceType}-{jsdata.months[27].month}</v>
      </c>
      <c r="D576" s="3" t="s">
        <v>8771</v>
      </c>
    </row>
    <row r="577" spans="1:4" x14ac:dyDescent="0.35">
      <c r="A577" s="3" t="s">
        <v>8764</v>
      </c>
      <c r="B577" s="3" t="s">
        <v>9531</v>
      </c>
      <c r="C577" s="3" t="str">
        <f t="shared" si="8"/>
        <v>{jsdata.months[27].absences[7].absenceType}-{jsdata.months[27].month}</v>
      </c>
      <c r="D577" s="3" t="s">
        <v>8772</v>
      </c>
    </row>
    <row r="578" spans="1:4" x14ac:dyDescent="0.35">
      <c r="A578" s="3" t="s">
        <v>8764</v>
      </c>
      <c r="B578" s="3" t="s">
        <v>9532</v>
      </c>
      <c r="C578" s="3" t="str">
        <f t="shared" si="8"/>
        <v>{jsdata.months[27].absences[8].absenceType}-{jsdata.months[27].month}</v>
      </c>
      <c r="D578" s="3" t="s">
        <v>8773</v>
      </c>
    </row>
    <row r="579" spans="1:4" x14ac:dyDescent="0.35">
      <c r="A579" s="3" t="s">
        <v>8764</v>
      </c>
      <c r="B579" s="3" t="s">
        <v>9533</v>
      </c>
      <c r="C579" s="3" t="str">
        <f t="shared" si="8"/>
        <v>{jsdata.months[27].absences[9].absenceType}-{jsdata.months[27].month}</v>
      </c>
      <c r="D579" s="3" t="s">
        <v>8774</v>
      </c>
    </row>
    <row r="580" spans="1:4" x14ac:dyDescent="0.35">
      <c r="A580" s="3" t="s">
        <v>8764</v>
      </c>
      <c r="B580" s="3" t="s">
        <v>9534</v>
      </c>
      <c r="C580" s="3" t="str">
        <f t="shared" ref="C580:C643" si="9">IF($A580&lt;&gt;"",$B580&amp;"-"&amp;$A580,"")</f>
        <v>{jsdata.months[27].absences[10].absenceType}-{jsdata.months[27].month}</v>
      </c>
      <c r="D580" s="3" t="s">
        <v>8775</v>
      </c>
    </row>
    <row r="581" spans="1:4" x14ac:dyDescent="0.35">
      <c r="A581" s="3" t="s">
        <v>8764</v>
      </c>
      <c r="B581" s="3" t="s">
        <v>9535</v>
      </c>
      <c r="C581" s="3" t="str">
        <f t="shared" si="9"/>
        <v>{jsdata.months[27].absences[11].absenceType}-{jsdata.months[27].month}</v>
      </c>
      <c r="D581" s="3" t="s">
        <v>8776</v>
      </c>
    </row>
    <row r="582" spans="1:4" x14ac:dyDescent="0.35">
      <c r="A582" s="3" t="s">
        <v>8764</v>
      </c>
      <c r="B582" s="3" t="s">
        <v>9536</v>
      </c>
      <c r="C582" s="3" t="str">
        <f t="shared" si="9"/>
        <v>{jsdata.months[27].absences[12].absenceType}-{jsdata.months[27].month}</v>
      </c>
      <c r="D582" s="3" t="s">
        <v>8777</v>
      </c>
    </row>
    <row r="583" spans="1:4" x14ac:dyDescent="0.35">
      <c r="A583" s="3" t="s">
        <v>8764</v>
      </c>
      <c r="B583" s="3" t="s">
        <v>9537</v>
      </c>
      <c r="C583" s="3" t="str">
        <f t="shared" si="9"/>
        <v>{jsdata.months[27].absences[13].absenceType}-{jsdata.months[27].month}</v>
      </c>
      <c r="D583" s="3" t="s">
        <v>8778</v>
      </c>
    </row>
    <row r="584" spans="1:4" x14ac:dyDescent="0.35">
      <c r="A584" s="3" t="s">
        <v>8764</v>
      </c>
      <c r="B584" s="3" t="s">
        <v>9538</v>
      </c>
      <c r="C584" s="3" t="str">
        <f t="shared" si="9"/>
        <v>{jsdata.months[27].absences[14].absenceType}-{jsdata.months[27].month}</v>
      </c>
      <c r="D584" s="3" t="s">
        <v>8779</v>
      </c>
    </row>
    <row r="585" spans="1:4" x14ac:dyDescent="0.35">
      <c r="A585" s="3" t="s">
        <v>8764</v>
      </c>
      <c r="B585" s="3" t="s">
        <v>9539</v>
      </c>
      <c r="C585" s="3" t="str">
        <f t="shared" si="9"/>
        <v>{jsdata.months[27].absences[15].absenceType}-{jsdata.months[27].month}</v>
      </c>
      <c r="D585" s="3" t="s">
        <v>8780</v>
      </c>
    </row>
    <row r="586" spans="1:4" x14ac:dyDescent="0.35">
      <c r="A586" s="3" t="s">
        <v>8764</v>
      </c>
      <c r="B586" s="3" t="s">
        <v>9540</v>
      </c>
      <c r="C586" s="3" t="str">
        <f t="shared" si="9"/>
        <v>{jsdata.months[27].absences[16].absenceType}-{jsdata.months[27].month}</v>
      </c>
      <c r="D586" s="3" t="s">
        <v>8781</v>
      </c>
    </row>
    <row r="587" spans="1:4" x14ac:dyDescent="0.35">
      <c r="A587" s="3" t="s">
        <v>8764</v>
      </c>
      <c r="B587" s="3" t="s">
        <v>9541</v>
      </c>
      <c r="C587" s="3" t="str">
        <f t="shared" si="9"/>
        <v>{jsdata.months[27].absences[17].absenceType}-{jsdata.months[27].month}</v>
      </c>
      <c r="D587" s="3" t="s">
        <v>8782</v>
      </c>
    </row>
    <row r="588" spans="1:4" x14ac:dyDescent="0.35">
      <c r="A588" s="3" t="s">
        <v>8764</v>
      </c>
      <c r="B588" s="3" t="s">
        <v>9542</v>
      </c>
      <c r="C588" s="3" t="str">
        <f t="shared" si="9"/>
        <v>{jsdata.months[27].absences[18].absenceType}-{jsdata.months[27].month}</v>
      </c>
      <c r="D588" s="3" t="s">
        <v>8783</v>
      </c>
    </row>
    <row r="589" spans="1:4" x14ac:dyDescent="0.35">
      <c r="A589" s="3" t="s">
        <v>8764</v>
      </c>
      <c r="B589" s="3" t="s">
        <v>9543</v>
      </c>
      <c r="C589" s="3" t="str">
        <f t="shared" si="9"/>
        <v>{jsdata.months[27].absences[19].absenceType}-{jsdata.months[27].month}</v>
      </c>
      <c r="D589" s="3" t="s">
        <v>8784</v>
      </c>
    </row>
    <row r="590" spans="1:4" x14ac:dyDescent="0.35">
      <c r="A590" s="3" t="s">
        <v>8764</v>
      </c>
      <c r="B590" s="3" t="s">
        <v>9724</v>
      </c>
      <c r="C590" s="3" t="str">
        <f t="shared" si="9"/>
        <v>ResourcePresenceTimeSaldo-{jsdata.months[27].month}</v>
      </c>
      <c r="D590" s="3" t="s">
        <v>8785</v>
      </c>
    </row>
    <row r="591" spans="1:4" x14ac:dyDescent="0.35">
      <c r="A591" s="3" t="s">
        <v>8786</v>
      </c>
      <c r="B591" s="3" t="s">
        <v>9544</v>
      </c>
      <c r="C591" s="3" t="str">
        <f t="shared" si="9"/>
        <v>{jsdata.months[28].absences[0].absenceType}-{jsdata.months[28].month}</v>
      </c>
      <c r="D591" s="3" t="s">
        <v>8787</v>
      </c>
    </row>
    <row r="592" spans="1:4" x14ac:dyDescent="0.35">
      <c r="A592" s="3" t="s">
        <v>8786</v>
      </c>
      <c r="B592" s="3" t="s">
        <v>9545</v>
      </c>
      <c r="C592" s="3" t="str">
        <f t="shared" si="9"/>
        <v>{jsdata.months[28].absences[1].absenceType}-{jsdata.months[28].month}</v>
      </c>
      <c r="D592" s="3" t="s">
        <v>8788</v>
      </c>
    </row>
    <row r="593" spans="1:4" x14ac:dyDescent="0.35">
      <c r="A593" s="3" t="s">
        <v>8786</v>
      </c>
      <c r="B593" s="3" t="s">
        <v>9546</v>
      </c>
      <c r="C593" s="3" t="str">
        <f t="shared" si="9"/>
        <v>{jsdata.months[28].absences[2].absenceType}-{jsdata.months[28].month}</v>
      </c>
      <c r="D593" s="3" t="s">
        <v>8789</v>
      </c>
    </row>
    <row r="594" spans="1:4" x14ac:dyDescent="0.35">
      <c r="A594" s="3" t="s">
        <v>8786</v>
      </c>
      <c r="B594" s="3" t="s">
        <v>9547</v>
      </c>
      <c r="C594" s="3" t="str">
        <f t="shared" si="9"/>
        <v>{jsdata.months[28].absences[3].absenceType}-{jsdata.months[28].month}</v>
      </c>
      <c r="D594" s="3" t="s">
        <v>8790</v>
      </c>
    </row>
    <row r="595" spans="1:4" x14ac:dyDescent="0.35">
      <c r="A595" s="3" t="s">
        <v>8786</v>
      </c>
      <c r="B595" s="3" t="s">
        <v>9548</v>
      </c>
      <c r="C595" s="3" t="str">
        <f t="shared" si="9"/>
        <v>{jsdata.months[28].absences[4].absenceType}-{jsdata.months[28].month}</v>
      </c>
      <c r="D595" s="3" t="s">
        <v>8791</v>
      </c>
    </row>
    <row r="596" spans="1:4" x14ac:dyDescent="0.35">
      <c r="A596" s="3" t="s">
        <v>8786</v>
      </c>
      <c r="B596" s="3" t="s">
        <v>9549</v>
      </c>
      <c r="C596" s="3" t="str">
        <f t="shared" si="9"/>
        <v>{jsdata.months[28].absences[5].absenceType}-{jsdata.months[28].month}</v>
      </c>
      <c r="D596" s="3" t="s">
        <v>8792</v>
      </c>
    </row>
    <row r="597" spans="1:4" x14ac:dyDescent="0.35">
      <c r="A597" s="3" t="s">
        <v>8786</v>
      </c>
      <c r="B597" s="3" t="s">
        <v>9550</v>
      </c>
      <c r="C597" s="3" t="str">
        <f t="shared" si="9"/>
        <v>{jsdata.months[28].absences[6].absenceType}-{jsdata.months[28].month}</v>
      </c>
      <c r="D597" s="3" t="s">
        <v>8793</v>
      </c>
    </row>
    <row r="598" spans="1:4" x14ac:dyDescent="0.35">
      <c r="A598" s="3" t="s">
        <v>8786</v>
      </c>
      <c r="B598" s="3" t="s">
        <v>9551</v>
      </c>
      <c r="C598" s="3" t="str">
        <f t="shared" si="9"/>
        <v>{jsdata.months[28].absences[7].absenceType}-{jsdata.months[28].month}</v>
      </c>
      <c r="D598" s="3" t="s">
        <v>8794</v>
      </c>
    </row>
    <row r="599" spans="1:4" x14ac:dyDescent="0.35">
      <c r="A599" s="3" t="s">
        <v>8786</v>
      </c>
      <c r="B599" s="3" t="s">
        <v>9552</v>
      </c>
      <c r="C599" s="3" t="str">
        <f t="shared" si="9"/>
        <v>{jsdata.months[28].absences[8].absenceType}-{jsdata.months[28].month}</v>
      </c>
      <c r="D599" s="3" t="s">
        <v>8795</v>
      </c>
    </row>
    <row r="600" spans="1:4" x14ac:dyDescent="0.35">
      <c r="A600" s="3" t="s">
        <v>8786</v>
      </c>
      <c r="B600" s="3" t="s">
        <v>9553</v>
      </c>
      <c r="C600" s="3" t="str">
        <f t="shared" si="9"/>
        <v>{jsdata.months[28].absences[9].absenceType}-{jsdata.months[28].month}</v>
      </c>
      <c r="D600" s="3" t="s">
        <v>8796</v>
      </c>
    </row>
    <row r="601" spans="1:4" x14ac:dyDescent="0.35">
      <c r="A601" s="3" t="s">
        <v>8786</v>
      </c>
      <c r="B601" s="3" t="s">
        <v>9554</v>
      </c>
      <c r="C601" s="3" t="str">
        <f t="shared" si="9"/>
        <v>{jsdata.months[28].absences[10].absenceType}-{jsdata.months[28].month}</v>
      </c>
      <c r="D601" s="3" t="s">
        <v>8797</v>
      </c>
    </row>
    <row r="602" spans="1:4" x14ac:dyDescent="0.35">
      <c r="A602" s="3" t="s">
        <v>8786</v>
      </c>
      <c r="B602" s="3" t="s">
        <v>9555</v>
      </c>
      <c r="C602" s="3" t="str">
        <f t="shared" si="9"/>
        <v>{jsdata.months[28].absences[11].absenceType}-{jsdata.months[28].month}</v>
      </c>
      <c r="D602" s="3" t="s">
        <v>8798</v>
      </c>
    </row>
    <row r="603" spans="1:4" x14ac:dyDescent="0.35">
      <c r="A603" s="3" t="s">
        <v>8786</v>
      </c>
      <c r="B603" s="3" t="s">
        <v>9556</v>
      </c>
      <c r="C603" s="3" t="str">
        <f t="shared" si="9"/>
        <v>{jsdata.months[28].absences[12].absenceType}-{jsdata.months[28].month}</v>
      </c>
      <c r="D603" s="3" t="s">
        <v>8799</v>
      </c>
    </row>
    <row r="604" spans="1:4" x14ac:dyDescent="0.35">
      <c r="A604" s="3" t="s">
        <v>8786</v>
      </c>
      <c r="B604" s="3" t="s">
        <v>9557</v>
      </c>
      <c r="C604" s="3" t="str">
        <f t="shared" si="9"/>
        <v>{jsdata.months[28].absences[13].absenceType}-{jsdata.months[28].month}</v>
      </c>
      <c r="D604" s="3" t="s">
        <v>8800</v>
      </c>
    </row>
    <row r="605" spans="1:4" x14ac:dyDescent="0.35">
      <c r="A605" s="3" t="s">
        <v>8786</v>
      </c>
      <c r="B605" s="3" t="s">
        <v>9558</v>
      </c>
      <c r="C605" s="3" t="str">
        <f t="shared" si="9"/>
        <v>{jsdata.months[28].absences[14].absenceType}-{jsdata.months[28].month}</v>
      </c>
      <c r="D605" s="3" t="s">
        <v>8801</v>
      </c>
    </row>
    <row r="606" spans="1:4" x14ac:dyDescent="0.35">
      <c r="A606" s="3" t="s">
        <v>8786</v>
      </c>
      <c r="B606" s="3" t="s">
        <v>9559</v>
      </c>
      <c r="C606" s="3" t="str">
        <f t="shared" si="9"/>
        <v>{jsdata.months[28].absences[15].absenceType}-{jsdata.months[28].month}</v>
      </c>
      <c r="D606" s="3" t="s">
        <v>8802</v>
      </c>
    </row>
    <row r="607" spans="1:4" x14ac:dyDescent="0.35">
      <c r="A607" s="3" t="s">
        <v>8786</v>
      </c>
      <c r="B607" s="3" t="s">
        <v>9560</v>
      </c>
      <c r="C607" s="3" t="str">
        <f t="shared" si="9"/>
        <v>{jsdata.months[28].absences[16].absenceType}-{jsdata.months[28].month}</v>
      </c>
      <c r="D607" s="3" t="s">
        <v>8803</v>
      </c>
    </row>
    <row r="608" spans="1:4" x14ac:dyDescent="0.35">
      <c r="A608" s="3" t="s">
        <v>8786</v>
      </c>
      <c r="B608" s="3" t="s">
        <v>9561</v>
      </c>
      <c r="C608" s="3" t="str">
        <f t="shared" si="9"/>
        <v>{jsdata.months[28].absences[17].absenceType}-{jsdata.months[28].month}</v>
      </c>
      <c r="D608" s="3" t="s">
        <v>8804</v>
      </c>
    </row>
    <row r="609" spans="1:4" x14ac:dyDescent="0.35">
      <c r="A609" s="3" t="s">
        <v>8786</v>
      </c>
      <c r="B609" s="3" t="s">
        <v>9562</v>
      </c>
      <c r="C609" s="3" t="str">
        <f t="shared" si="9"/>
        <v>{jsdata.months[28].absences[18].absenceType}-{jsdata.months[28].month}</v>
      </c>
      <c r="D609" s="3" t="s">
        <v>8805</v>
      </c>
    </row>
    <row r="610" spans="1:4" x14ac:dyDescent="0.35">
      <c r="A610" s="3" t="s">
        <v>8786</v>
      </c>
      <c r="B610" s="3" t="s">
        <v>9563</v>
      </c>
      <c r="C610" s="3" t="str">
        <f t="shared" si="9"/>
        <v>{jsdata.months[28].absences[19].absenceType}-{jsdata.months[28].month}</v>
      </c>
      <c r="D610" s="3" t="s">
        <v>8806</v>
      </c>
    </row>
    <row r="611" spans="1:4" x14ac:dyDescent="0.35">
      <c r="A611" s="3" t="s">
        <v>8786</v>
      </c>
      <c r="B611" s="3" t="s">
        <v>9724</v>
      </c>
      <c r="C611" s="3" t="str">
        <f t="shared" si="9"/>
        <v>ResourcePresenceTimeSaldo-{jsdata.months[28].month}</v>
      </c>
      <c r="D611" s="3" t="s">
        <v>8807</v>
      </c>
    </row>
    <row r="612" spans="1:4" x14ac:dyDescent="0.35">
      <c r="A612" s="3" t="s">
        <v>8808</v>
      </c>
      <c r="B612" s="3" t="s">
        <v>9564</v>
      </c>
      <c r="C612" s="3" t="str">
        <f t="shared" si="9"/>
        <v>{jsdata.months[29].absences[0].absenceType}-{jsdata.months[29].month}</v>
      </c>
      <c r="D612" s="3" t="s">
        <v>8809</v>
      </c>
    </row>
    <row r="613" spans="1:4" x14ac:dyDescent="0.35">
      <c r="A613" s="3" t="s">
        <v>8808</v>
      </c>
      <c r="B613" s="3" t="s">
        <v>9565</v>
      </c>
      <c r="C613" s="3" t="str">
        <f t="shared" si="9"/>
        <v>{jsdata.months[29].absences[1].absenceType}-{jsdata.months[29].month}</v>
      </c>
      <c r="D613" s="3" t="s">
        <v>8810</v>
      </c>
    </row>
    <row r="614" spans="1:4" x14ac:dyDescent="0.35">
      <c r="A614" s="3" t="s">
        <v>8808</v>
      </c>
      <c r="B614" s="3" t="s">
        <v>9566</v>
      </c>
      <c r="C614" s="3" t="str">
        <f t="shared" si="9"/>
        <v>{jsdata.months[29].absences[2].absenceType}-{jsdata.months[29].month}</v>
      </c>
      <c r="D614" s="3" t="s">
        <v>8811</v>
      </c>
    </row>
    <row r="615" spans="1:4" x14ac:dyDescent="0.35">
      <c r="A615" s="3" t="s">
        <v>8808</v>
      </c>
      <c r="B615" s="3" t="s">
        <v>9567</v>
      </c>
      <c r="C615" s="3" t="str">
        <f t="shared" si="9"/>
        <v>{jsdata.months[29].absences[3].absenceType}-{jsdata.months[29].month}</v>
      </c>
      <c r="D615" s="3" t="s">
        <v>8812</v>
      </c>
    </row>
    <row r="616" spans="1:4" x14ac:dyDescent="0.35">
      <c r="A616" s="3" t="s">
        <v>8808</v>
      </c>
      <c r="B616" s="3" t="s">
        <v>9568</v>
      </c>
      <c r="C616" s="3" t="str">
        <f t="shared" si="9"/>
        <v>{jsdata.months[29].absences[4].absenceType}-{jsdata.months[29].month}</v>
      </c>
      <c r="D616" s="3" t="s">
        <v>8813</v>
      </c>
    </row>
    <row r="617" spans="1:4" x14ac:dyDescent="0.35">
      <c r="A617" s="3" t="s">
        <v>8808</v>
      </c>
      <c r="B617" s="3" t="s">
        <v>9569</v>
      </c>
      <c r="C617" s="3" t="str">
        <f t="shared" si="9"/>
        <v>{jsdata.months[29].absences[5].absenceType}-{jsdata.months[29].month}</v>
      </c>
      <c r="D617" s="3" t="s">
        <v>8814</v>
      </c>
    </row>
    <row r="618" spans="1:4" x14ac:dyDescent="0.35">
      <c r="A618" s="3" t="s">
        <v>8808</v>
      </c>
      <c r="B618" s="3" t="s">
        <v>9570</v>
      </c>
      <c r="C618" s="3" t="str">
        <f t="shared" si="9"/>
        <v>{jsdata.months[29].absences[6].absenceType}-{jsdata.months[29].month}</v>
      </c>
      <c r="D618" s="3" t="s">
        <v>8815</v>
      </c>
    </row>
    <row r="619" spans="1:4" x14ac:dyDescent="0.35">
      <c r="A619" s="3" t="s">
        <v>8808</v>
      </c>
      <c r="B619" s="3" t="s">
        <v>9571</v>
      </c>
      <c r="C619" s="3" t="str">
        <f t="shared" si="9"/>
        <v>{jsdata.months[29].absences[7].absenceType}-{jsdata.months[29].month}</v>
      </c>
      <c r="D619" s="3" t="s">
        <v>8816</v>
      </c>
    </row>
    <row r="620" spans="1:4" x14ac:dyDescent="0.35">
      <c r="A620" s="3" t="s">
        <v>8808</v>
      </c>
      <c r="B620" s="3" t="s">
        <v>9572</v>
      </c>
      <c r="C620" s="3" t="str">
        <f t="shared" si="9"/>
        <v>{jsdata.months[29].absences[8].absenceType}-{jsdata.months[29].month}</v>
      </c>
      <c r="D620" s="3" t="s">
        <v>8817</v>
      </c>
    </row>
    <row r="621" spans="1:4" x14ac:dyDescent="0.35">
      <c r="A621" s="3" t="s">
        <v>8808</v>
      </c>
      <c r="B621" s="3" t="s">
        <v>9573</v>
      </c>
      <c r="C621" s="3" t="str">
        <f t="shared" si="9"/>
        <v>{jsdata.months[29].absences[9].absenceType}-{jsdata.months[29].month}</v>
      </c>
      <c r="D621" s="3" t="s">
        <v>8818</v>
      </c>
    </row>
    <row r="622" spans="1:4" x14ac:dyDescent="0.35">
      <c r="A622" s="3" t="s">
        <v>8808</v>
      </c>
      <c r="B622" s="3" t="s">
        <v>9574</v>
      </c>
      <c r="C622" s="3" t="str">
        <f t="shared" si="9"/>
        <v>{jsdata.months[29].absences[10].absenceType}-{jsdata.months[29].month}</v>
      </c>
      <c r="D622" s="3" t="s">
        <v>8819</v>
      </c>
    </row>
    <row r="623" spans="1:4" x14ac:dyDescent="0.35">
      <c r="A623" s="3" t="s">
        <v>8808</v>
      </c>
      <c r="B623" s="3" t="s">
        <v>9575</v>
      </c>
      <c r="C623" s="3" t="str">
        <f t="shared" si="9"/>
        <v>{jsdata.months[29].absences[11].absenceType}-{jsdata.months[29].month}</v>
      </c>
      <c r="D623" s="3" t="s">
        <v>8820</v>
      </c>
    </row>
    <row r="624" spans="1:4" x14ac:dyDescent="0.35">
      <c r="A624" s="3" t="s">
        <v>8808</v>
      </c>
      <c r="B624" s="3" t="s">
        <v>9576</v>
      </c>
      <c r="C624" s="3" t="str">
        <f t="shared" si="9"/>
        <v>{jsdata.months[29].absences[12].absenceType}-{jsdata.months[29].month}</v>
      </c>
      <c r="D624" s="3" t="s">
        <v>8821</v>
      </c>
    </row>
    <row r="625" spans="1:4" x14ac:dyDescent="0.35">
      <c r="A625" s="3" t="s">
        <v>8808</v>
      </c>
      <c r="B625" s="3" t="s">
        <v>9577</v>
      </c>
      <c r="C625" s="3" t="str">
        <f t="shared" si="9"/>
        <v>{jsdata.months[29].absences[13].absenceType}-{jsdata.months[29].month}</v>
      </c>
      <c r="D625" s="3" t="s">
        <v>8822</v>
      </c>
    </row>
    <row r="626" spans="1:4" x14ac:dyDescent="0.35">
      <c r="A626" s="3" t="s">
        <v>8808</v>
      </c>
      <c r="B626" s="3" t="s">
        <v>9578</v>
      </c>
      <c r="C626" s="3" t="str">
        <f t="shared" si="9"/>
        <v>{jsdata.months[29].absences[14].absenceType}-{jsdata.months[29].month}</v>
      </c>
      <c r="D626" s="3" t="s">
        <v>8823</v>
      </c>
    </row>
    <row r="627" spans="1:4" x14ac:dyDescent="0.35">
      <c r="A627" s="3" t="s">
        <v>8808</v>
      </c>
      <c r="B627" s="3" t="s">
        <v>9579</v>
      </c>
      <c r="C627" s="3" t="str">
        <f t="shared" si="9"/>
        <v>{jsdata.months[29].absences[15].absenceType}-{jsdata.months[29].month}</v>
      </c>
      <c r="D627" s="3" t="s">
        <v>8824</v>
      </c>
    </row>
    <row r="628" spans="1:4" x14ac:dyDescent="0.35">
      <c r="A628" s="3" t="s">
        <v>8808</v>
      </c>
      <c r="B628" s="3" t="s">
        <v>9580</v>
      </c>
      <c r="C628" s="3" t="str">
        <f t="shared" si="9"/>
        <v>{jsdata.months[29].absences[16].absenceType}-{jsdata.months[29].month}</v>
      </c>
      <c r="D628" s="3" t="s">
        <v>8825</v>
      </c>
    </row>
    <row r="629" spans="1:4" x14ac:dyDescent="0.35">
      <c r="A629" s="3" t="s">
        <v>8808</v>
      </c>
      <c r="B629" s="3" t="s">
        <v>9581</v>
      </c>
      <c r="C629" s="3" t="str">
        <f t="shared" si="9"/>
        <v>{jsdata.months[29].absences[17].absenceType}-{jsdata.months[29].month}</v>
      </c>
      <c r="D629" s="3" t="s">
        <v>8826</v>
      </c>
    </row>
    <row r="630" spans="1:4" x14ac:dyDescent="0.35">
      <c r="A630" s="3" t="s">
        <v>8808</v>
      </c>
      <c r="B630" s="3" t="s">
        <v>9582</v>
      </c>
      <c r="C630" s="3" t="str">
        <f t="shared" si="9"/>
        <v>{jsdata.months[29].absences[18].absenceType}-{jsdata.months[29].month}</v>
      </c>
      <c r="D630" s="3" t="s">
        <v>8827</v>
      </c>
    </row>
    <row r="631" spans="1:4" x14ac:dyDescent="0.35">
      <c r="A631" s="3" t="s">
        <v>8808</v>
      </c>
      <c r="B631" s="3" t="s">
        <v>9583</v>
      </c>
      <c r="C631" s="3" t="str">
        <f t="shared" si="9"/>
        <v>{jsdata.months[29].absences[19].absenceType}-{jsdata.months[29].month}</v>
      </c>
      <c r="D631" s="3" t="s">
        <v>8828</v>
      </c>
    </row>
    <row r="632" spans="1:4" x14ac:dyDescent="0.35">
      <c r="A632" s="3" t="s">
        <v>8808</v>
      </c>
      <c r="B632" s="3" t="s">
        <v>9724</v>
      </c>
      <c r="C632" s="3" t="str">
        <f t="shared" si="9"/>
        <v>ResourcePresenceTimeSaldo-{jsdata.months[29].month}</v>
      </c>
      <c r="D632" s="3" t="s">
        <v>8829</v>
      </c>
    </row>
    <row r="633" spans="1:4" x14ac:dyDescent="0.35">
      <c r="A633" s="3" t="s">
        <v>8830</v>
      </c>
      <c r="B633" s="3" t="s">
        <v>9584</v>
      </c>
      <c r="C633" s="3" t="str">
        <f t="shared" si="9"/>
        <v>{jsdata.months[30].absences[0].absenceType}-{jsdata.months[30].month}</v>
      </c>
      <c r="D633" s="3" t="s">
        <v>8831</v>
      </c>
    </row>
    <row r="634" spans="1:4" x14ac:dyDescent="0.35">
      <c r="A634" s="3" t="s">
        <v>8830</v>
      </c>
      <c r="B634" s="3" t="s">
        <v>9585</v>
      </c>
      <c r="C634" s="3" t="str">
        <f t="shared" si="9"/>
        <v>{jsdata.months[30].absences[1].absenceType}-{jsdata.months[30].month}</v>
      </c>
      <c r="D634" s="3" t="s">
        <v>8832</v>
      </c>
    </row>
    <row r="635" spans="1:4" x14ac:dyDescent="0.35">
      <c r="A635" s="3" t="s">
        <v>8830</v>
      </c>
      <c r="B635" s="3" t="s">
        <v>9586</v>
      </c>
      <c r="C635" s="3" t="str">
        <f t="shared" si="9"/>
        <v>{jsdata.months[30].absences[2].absenceType}-{jsdata.months[30].month}</v>
      </c>
      <c r="D635" s="3" t="s">
        <v>8833</v>
      </c>
    </row>
    <row r="636" spans="1:4" x14ac:dyDescent="0.35">
      <c r="A636" s="3" t="s">
        <v>8830</v>
      </c>
      <c r="B636" s="3" t="s">
        <v>9587</v>
      </c>
      <c r="C636" s="3" t="str">
        <f t="shared" si="9"/>
        <v>{jsdata.months[30].absences[3].absenceType}-{jsdata.months[30].month}</v>
      </c>
      <c r="D636" s="3" t="s">
        <v>8834</v>
      </c>
    </row>
    <row r="637" spans="1:4" x14ac:dyDescent="0.35">
      <c r="A637" s="3" t="s">
        <v>8830</v>
      </c>
      <c r="B637" s="3" t="s">
        <v>9588</v>
      </c>
      <c r="C637" s="3" t="str">
        <f t="shared" si="9"/>
        <v>{jsdata.months[30].absences[4].absenceType}-{jsdata.months[30].month}</v>
      </c>
      <c r="D637" s="3" t="s">
        <v>8835</v>
      </c>
    </row>
    <row r="638" spans="1:4" x14ac:dyDescent="0.35">
      <c r="A638" s="3" t="s">
        <v>8830</v>
      </c>
      <c r="B638" s="3" t="s">
        <v>9589</v>
      </c>
      <c r="C638" s="3" t="str">
        <f t="shared" si="9"/>
        <v>{jsdata.months[30].absences[5].absenceType}-{jsdata.months[30].month}</v>
      </c>
      <c r="D638" s="3" t="s">
        <v>8836</v>
      </c>
    </row>
    <row r="639" spans="1:4" x14ac:dyDescent="0.35">
      <c r="A639" s="3" t="s">
        <v>8830</v>
      </c>
      <c r="B639" s="3" t="s">
        <v>9590</v>
      </c>
      <c r="C639" s="3" t="str">
        <f t="shared" si="9"/>
        <v>{jsdata.months[30].absences[6].absenceType}-{jsdata.months[30].month}</v>
      </c>
      <c r="D639" s="3" t="s">
        <v>8837</v>
      </c>
    </row>
    <row r="640" spans="1:4" x14ac:dyDescent="0.35">
      <c r="A640" s="3" t="s">
        <v>8830</v>
      </c>
      <c r="B640" s="3" t="s">
        <v>9591</v>
      </c>
      <c r="C640" s="3" t="str">
        <f t="shared" si="9"/>
        <v>{jsdata.months[30].absences[7].absenceType}-{jsdata.months[30].month}</v>
      </c>
      <c r="D640" s="3" t="s">
        <v>8838</v>
      </c>
    </row>
    <row r="641" spans="1:4" x14ac:dyDescent="0.35">
      <c r="A641" s="3" t="s">
        <v>8830</v>
      </c>
      <c r="B641" s="3" t="s">
        <v>9592</v>
      </c>
      <c r="C641" s="3" t="str">
        <f t="shared" si="9"/>
        <v>{jsdata.months[30].absences[8].absenceType}-{jsdata.months[30].month}</v>
      </c>
      <c r="D641" s="3" t="s">
        <v>8839</v>
      </c>
    </row>
    <row r="642" spans="1:4" x14ac:dyDescent="0.35">
      <c r="A642" s="3" t="s">
        <v>8830</v>
      </c>
      <c r="B642" s="3" t="s">
        <v>9593</v>
      </c>
      <c r="C642" s="3" t="str">
        <f t="shared" si="9"/>
        <v>{jsdata.months[30].absences[9].absenceType}-{jsdata.months[30].month}</v>
      </c>
      <c r="D642" s="3" t="s">
        <v>8840</v>
      </c>
    </row>
    <row r="643" spans="1:4" x14ac:dyDescent="0.35">
      <c r="A643" s="3" t="s">
        <v>8830</v>
      </c>
      <c r="B643" s="3" t="s">
        <v>9594</v>
      </c>
      <c r="C643" s="3" t="str">
        <f t="shared" si="9"/>
        <v>{jsdata.months[30].absences[10].absenceType}-{jsdata.months[30].month}</v>
      </c>
      <c r="D643" s="3" t="s">
        <v>8841</v>
      </c>
    </row>
    <row r="644" spans="1:4" x14ac:dyDescent="0.35">
      <c r="A644" s="3" t="s">
        <v>8830</v>
      </c>
      <c r="B644" s="3" t="s">
        <v>9595</v>
      </c>
      <c r="C644" s="3" t="str">
        <f t="shared" ref="C644:C707" si="10">IF($A644&lt;&gt;"",$B644&amp;"-"&amp;$A644,"")</f>
        <v>{jsdata.months[30].absences[11].absenceType}-{jsdata.months[30].month}</v>
      </c>
      <c r="D644" s="3" t="s">
        <v>8842</v>
      </c>
    </row>
    <row r="645" spans="1:4" x14ac:dyDescent="0.35">
      <c r="A645" s="3" t="s">
        <v>8830</v>
      </c>
      <c r="B645" s="3" t="s">
        <v>9596</v>
      </c>
      <c r="C645" s="3" t="str">
        <f t="shared" si="10"/>
        <v>{jsdata.months[30].absences[12].absenceType}-{jsdata.months[30].month}</v>
      </c>
      <c r="D645" s="3" t="s">
        <v>8843</v>
      </c>
    </row>
    <row r="646" spans="1:4" x14ac:dyDescent="0.35">
      <c r="A646" s="3" t="s">
        <v>8830</v>
      </c>
      <c r="B646" s="3" t="s">
        <v>9597</v>
      </c>
      <c r="C646" s="3" t="str">
        <f t="shared" si="10"/>
        <v>{jsdata.months[30].absences[13].absenceType}-{jsdata.months[30].month}</v>
      </c>
      <c r="D646" s="3" t="s">
        <v>8844</v>
      </c>
    </row>
    <row r="647" spans="1:4" x14ac:dyDescent="0.35">
      <c r="A647" s="3" t="s">
        <v>8830</v>
      </c>
      <c r="B647" s="3" t="s">
        <v>9598</v>
      </c>
      <c r="C647" s="3" t="str">
        <f t="shared" si="10"/>
        <v>{jsdata.months[30].absences[14].absenceType}-{jsdata.months[30].month}</v>
      </c>
      <c r="D647" s="3" t="s">
        <v>8845</v>
      </c>
    </row>
    <row r="648" spans="1:4" x14ac:dyDescent="0.35">
      <c r="A648" s="3" t="s">
        <v>8830</v>
      </c>
      <c r="B648" s="3" t="s">
        <v>9599</v>
      </c>
      <c r="C648" s="3" t="str">
        <f t="shared" si="10"/>
        <v>{jsdata.months[30].absences[15].absenceType}-{jsdata.months[30].month}</v>
      </c>
      <c r="D648" s="3" t="s">
        <v>8846</v>
      </c>
    </row>
    <row r="649" spans="1:4" x14ac:dyDescent="0.35">
      <c r="A649" s="3" t="s">
        <v>8830</v>
      </c>
      <c r="B649" s="3" t="s">
        <v>9600</v>
      </c>
      <c r="C649" s="3" t="str">
        <f t="shared" si="10"/>
        <v>{jsdata.months[30].absences[16].absenceType}-{jsdata.months[30].month}</v>
      </c>
      <c r="D649" s="3" t="s">
        <v>8847</v>
      </c>
    </row>
    <row r="650" spans="1:4" x14ac:dyDescent="0.35">
      <c r="A650" s="3" t="s">
        <v>8830</v>
      </c>
      <c r="B650" s="3" t="s">
        <v>9601</v>
      </c>
      <c r="C650" s="3" t="str">
        <f t="shared" si="10"/>
        <v>{jsdata.months[30].absences[17].absenceType}-{jsdata.months[30].month}</v>
      </c>
      <c r="D650" s="3" t="s">
        <v>8848</v>
      </c>
    </row>
    <row r="651" spans="1:4" x14ac:dyDescent="0.35">
      <c r="A651" s="3" t="s">
        <v>8830</v>
      </c>
      <c r="B651" s="3" t="s">
        <v>9602</v>
      </c>
      <c r="C651" s="3" t="str">
        <f t="shared" si="10"/>
        <v>{jsdata.months[30].absences[18].absenceType}-{jsdata.months[30].month}</v>
      </c>
      <c r="D651" s="3" t="s">
        <v>8849</v>
      </c>
    </row>
    <row r="652" spans="1:4" x14ac:dyDescent="0.35">
      <c r="A652" s="3" t="s">
        <v>8830</v>
      </c>
      <c r="B652" s="3" t="s">
        <v>9603</v>
      </c>
      <c r="C652" s="3" t="str">
        <f t="shared" si="10"/>
        <v>{jsdata.months[30].absences[19].absenceType}-{jsdata.months[30].month}</v>
      </c>
      <c r="D652" s="3" t="s">
        <v>8850</v>
      </c>
    </row>
    <row r="653" spans="1:4" x14ac:dyDescent="0.35">
      <c r="A653" s="3" t="s">
        <v>8830</v>
      </c>
      <c r="B653" s="3" t="s">
        <v>9724</v>
      </c>
      <c r="C653" s="3" t="str">
        <f t="shared" si="10"/>
        <v>ResourcePresenceTimeSaldo-{jsdata.months[30].month}</v>
      </c>
      <c r="D653" s="3" t="s">
        <v>8851</v>
      </c>
    </row>
    <row r="654" spans="1:4" x14ac:dyDescent="0.35">
      <c r="A654" s="3" t="s">
        <v>8852</v>
      </c>
      <c r="B654" s="3" t="s">
        <v>9604</v>
      </c>
      <c r="C654" s="3" t="str">
        <f t="shared" si="10"/>
        <v>{jsdata.months[31].absences[0].absenceType}-{jsdata.months[31].month}</v>
      </c>
      <c r="D654" s="3" t="s">
        <v>8853</v>
      </c>
    </row>
    <row r="655" spans="1:4" x14ac:dyDescent="0.35">
      <c r="A655" s="3" t="s">
        <v>8852</v>
      </c>
      <c r="B655" s="3" t="s">
        <v>9605</v>
      </c>
      <c r="C655" s="3" t="str">
        <f t="shared" si="10"/>
        <v>{jsdata.months[31].absences[1].absenceType}-{jsdata.months[31].month}</v>
      </c>
      <c r="D655" s="3" t="s">
        <v>8854</v>
      </c>
    </row>
    <row r="656" spans="1:4" x14ac:dyDescent="0.35">
      <c r="A656" s="3" t="s">
        <v>8852</v>
      </c>
      <c r="B656" s="3" t="s">
        <v>9606</v>
      </c>
      <c r="C656" s="3" t="str">
        <f t="shared" si="10"/>
        <v>{jsdata.months[31].absences[2].absenceType}-{jsdata.months[31].month}</v>
      </c>
      <c r="D656" s="3" t="s">
        <v>8855</v>
      </c>
    </row>
    <row r="657" spans="1:4" x14ac:dyDescent="0.35">
      <c r="A657" s="3" t="s">
        <v>8852</v>
      </c>
      <c r="B657" s="3" t="s">
        <v>9607</v>
      </c>
      <c r="C657" s="3" t="str">
        <f t="shared" si="10"/>
        <v>{jsdata.months[31].absences[3].absenceType}-{jsdata.months[31].month}</v>
      </c>
      <c r="D657" s="3" t="s">
        <v>8856</v>
      </c>
    </row>
    <row r="658" spans="1:4" x14ac:dyDescent="0.35">
      <c r="A658" s="3" t="s">
        <v>8852</v>
      </c>
      <c r="B658" s="3" t="s">
        <v>9608</v>
      </c>
      <c r="C658" s="3" t="str">
        <f t="shared" si="10"/>
        <v>{jsdata.months[31].absences[4].absenceType}-{jsdata.months[31].month}</v>
      </c>
      <c r="D658" s="3" t="s">
        <v>8857</v>
      </c>
    </row>
    <row r="659" spans="1:4" x14ac:dyDescent="0.35">
      <c r="A659" s="3" t="s">
        <v>8852</v>
      </c>
      <c r="B659" s="3" t="s">
        <v>9609</v>
      </c>
      <c r="C659" s="3" t="str">
        <f t="shared" si="10"/>
        <v>{jsdata.months[31].absences[5].absenceType}-{jsdata.months[31].month}</v>
      </c>
      <c r="D659" s="3" t="s">
        <v>8858</v>
      </c>
    </row>
    <row r="660" spans="1:4" x14ac:dyDescent="0.35">
      <c r="A660" s="3" t="s">
        <v>8852</v>
      </c>
      <c r="B660" s="3" t="s">
        <v>9610</v>
      </c>
      <c r="C660" s="3" t="str">
        <f t="shared" si="10"/>
        <v>{jsdata.months[31].absences[6].absenceType}-{jsdata.months[31].month}</v>
      </c>
      <c r="D660" s="3" t="s">
        <v>8859</v>
      </c>
    </row>
    <row r="661" spans="1:4" x14ac:dyDescent="0.35">
      <c r="A661" s="3" t="s">
        <v>8852</v>
      </c>
      <c r="B661" s="3" t="s">
        <v>9611</v>
      </c>
      <c r="C661" s="3" t="str">
        <f t="shared" si="10"/>
        <v>{jsdata.months[31].absences[7].absenceType}-{jsdata.months[31].month}</v>
      </c>
      <c r="D661" s="3" t="s">
        <v>8860</v>
      </c>
    </row>
    <row r="662" spans="1:4" x14ac:dyDescent="0.35">
      <c r="A662" s="3" t="s">
        <v>8852</v>
      </c>
      <c r="B662" s="3" t="s">
        <v>9612</v>
      </c>
      <c r="C662" s="3" t="str">
        <f t="shared" si="10"/>
        <v>{jsdata.months[31].absences[8].absenceType}-{jsdata.months[31].month}</v>
      </c>
      <c r="D662" s="3" t="s">
        <v>8861</v>
      </c>
    </row>
    <row r="663" spans="1:4" x14ac:dyDescent="0.35">
      <c r="A663" s="3" t="s">
        <v>8852</v>
      </c>
      <c r="B663" s="3" t="s">
        <v>9613</v>
      </c>
      <c r="C663" s="3" t="str">
        <f t="shared" si="10"/>
        <v>{jsdata.months[31].absences[9].absenceType}-{jsdata.months[31].month}</v>
      </c>
      <c r="D663" s="3" t="s">
        <v>8862</v>
      </c>
    </row>
    <row r="664" spans="1:4" x14ac:dyDescent="0.35">
      <c r="A664" s="3" t="s">
        <v>8852</v>
      </c>
      <c r="B664" s="3" t="s">
        <v>9614</v>
      </c>
      <c r="C664" s="3" t="str">
        <f t="shared" si="10"/>
        <v>{jsdata.months[31].absences[10].absenceType}-{jsdata.months[31].month}</v>
      </c>
      <c r="D664" s="3" t="s">
        <v>8863</v>
      </c>
    </row>
    <row r="665" spans="1:4" x14ac:dyDescent="0.35">
      <c r="A665" s="3" t="s">
        <v>8852</v>
      </c>
      <c r="B665" s="3" t="s">
        <v>9615</v>
      </c>
      <c r="C665" s="3" t="str">
        <f t="shared" si="10"/>
        <v>{jsdata.months[31].absences[11].absenceType}-{jsdata.months[31].month}</v>
      </c>
      <c r="D665" s="3" t="s">
        <v>8864</v>
      </c>
    </row>
    <row r="666" spans="1:4" x14ac:dyDescent="0.35">
      <c r="A666" s="3" t="s">
        <v>8852</v>
      </c>
      <c r="B666" s="3" t="s">
        <v>9616</v>
      </c>
      <c r="C666" s="3" t="str">
        <f t="shared" si="10"/>
        <v>{jsdata.months[31].absences[12].absenceType}-{jsdata.months[31].month}</v>
      </c>
      <c r="D666" s="3" t="s">
        <v>8865</v>
      </c>
    </row>
    <row r="667" spans="1:4" x14ac:dyDescent="0.35">
      <c r="A667" s="3" t="s">
        <v>8852</v>
      </c>
      <c r="B667" s="3" t="s">
        <v>9617</v>
      </c>
      <c r="C667" s="3" t="str">
        <f t="shared" si="10"/>
        <v>{jsdata.months[31].absences[13].absenceType}-{jsdata.months[31].month}</v>
      </c>
      <c r="D667" s="3" t="s">
        <v>8866</v>
      </c>
    </row>
    <row r="668" spans="1:4" x14ac:dyDescent="0.35">
      <c r="A668" s="3" t="s">
        <v>8852</v>
      </c>
      <c r="B668" s="3" t="s">
        <v>9618</v>
      </c>
      <c r="C668" s="3" t="str">
        <f t="shared" si="10"/>
        <v>{jsdata.months[31].absences[14].absenceType}-{jsdata.months[31].month}</v>
      </c>
      <c r="D668" s="3" t="s">
        <v>8867</v>
      </c>
    </row>
    <row r="669" spans="1:4" x14ac:dyDescent="0.35">
      <c r="A669" s="3" t="s">
        <v>8852</v>
      </c>
      <c r="B669" s="3" t="s">
        <v>9619</v>
      </c>
      <c r="C669" s="3" t="str">
        <f t="shared" si="10"/>
        <v>{jsdata.months[31].absences[15].absenceType}-{jsdata.months[31].month}</v>
      </c>
      <c r="D669" s="3" t="s">
        <v>8868</v>
      </c>
    </row>
    <row r="670" spans="1:4" x14ac:dyDescent="0.35">
      <c r="A670" s="3" t="s">
        <v>8852</v>
      </c>
      <c r="B670" s="3" t="s">
        <v>9620</v>
      </c>
      <c r="C670" s="3" t="str">
        <f t="shared" si="10"/>
        <v>{jsdata.months[31].absences[16].absenceType}-{jsdata.months[31].month}</v>
      </c>
      <c r="D670" s="3" t="s">
        <v>8869</v>
      </c>
    </row>
    <row r="671" spans="1:4" x14ac:dyDescent="0.35">
      <c r="A671" s="3" t="s">
        <v>8852</v>
      </c>
      <c r="B671" s="3" t="s">
        <v>9621</v>
      </c>
      <c r="C671" s="3" t="str">
        <f t="shared" si="10"/>
        <v>{jsdata.months[31].absences[17].absenceType}-{jsdata.months[31].month}</v>
      </c>
      <c r="D671" s="3" t="s">
        <v>8870</v>
      </c>
    </row>
    <row r="672" spans="1:4" x14ac:dyDescent="0.35">
      <c r="A672" s="3" t="s">
        <v>8852</v>
      </c>
      <c r="B672" s="3" t="s">
        <v>9622</v>
      </c>
      <c r="C672" s="3" t="str">
        <f t="shared" si="10"/>
        <v>{jsdata.months[31].absences[18].absenceType}-{jsdata.months[31].month}</v>
      </c>
      <c r="D672" s="3" t="s">
        <v>8871</v>
      </c>
    </row>
    <row r="673" spans="1:4" x14ac:dyDescent="0.35">
      <c r="A673" s="3" t="s">
        <v>8852</v>
      </c>
      <c r="B673" s="3" t="s">
        <v>9623</v>
      </c>
      <c r="C673" s="3" t="str">
        <f t="shared" si="10"/>
        <v>{jsdata.months[31].absences[19].absenceType}-{jsdata.months[31].month}</v>
      </c>
      <c r="D673" s="3" t="s">
        <v>8872</v>
      </c>
    </row>
    <row r="674" spans="1:4" x14ac:dyDescent="0.35">
      <c r="A674" s="3" t="s">
        <v>8852</v>
      </c>
      <c r="B674" s="3" t="s">
        <v>9724</v>
      </c>
      <c r="C674" s="3" t="str">
        <f t="shared" si="10"/>
        <v>ResourcePresenceTimeSaldo-{jsdata.months[31].month}</v>
      </c>
      <c r="D674" s="3" t="s">
        <v>8873</v>
      </c>
    </row>
    <row r="675" spans="1:4" x14ac:dyDescent="0.35">
      <c r="A675" s="3" t="s">
        <v>8874</v>
      </c>
      <c r="B675" s="3" t="s">
        <v>9624</v>
      </c>
      <c r="C675" s="3" t="str">
        <f t="shared" si="10"/>
        <v>{jsdata.months[32].absences[0].absenceType}-{jsdata.months[32].month}</v>
      </c>
      <c r="D675" s="3" t="s">
        <v>8875</v>
      </c>
    </row>
    <row r="676" spans="1:4" x14ac:dyDescent="0.35">
      <c r="A676" s="3" t="s">
        <v>8874</v>
      </c>
      <c r="B676" s="3" t="s">
        <v>9625</v>
      </c>
      <c r="C676" s="3" t="str">
        <f t="shared" si="10"/>
        <v>{jsdata.months[32].absences[1].absenceType}-{jsdata.months[32].month}</v>
      </c>
      <c r="D676" s="3" t="s">
        <v>8876</v>
      </c>
    </row>
    <row r="677" spans="1:4" x14ac:dyDescent="0.35">
      <c r="A677" s="3" t="s">
        <v>8874</v>
      </c>
      <c r="B677" s="3" t="s">
        <v>9626</v>
      </c>
      <c r="C677" s="3" t="str">
        <f t="shared" si="10"/>
        <v>{jsdata.months[32].absences[2].absenceType}-{jsdata.months[32].month}</v>
      </c>
      <c r="D677" s="3" t="s">
        <v>8877</v>
      </c>
    </row>
    <row r="678" spans="1:4" x14ac:dyDescent="0.35">
      <c r="A678" s="3" t="s">
        <v>8874</v>
      </c>
      <c r="B678" s="3" t="s">
        <v>9627</v>
      </c>
      <c r="C678" s="3" t="str">
        <f t="shared" si="10"/>
        <v>{jsdata.months[32].absences[3].absenceType}-{jsdata.months[32].month}</v>
      </c>
      <c r="D678" s="3" t="s">
        <v>8878</v>
      </c>
    </row>
    <row r="679" spans="1:4" x14ac:dyDescent="0.35">
      <c r="A679" s="3" t="s">
        <v>8874</v>
      </c>
      <c r="B679" s="3" t="s">
        <v>9628</v>
      </c>
      <c r="C679" s="3" t="str">
        <f t="shared" si="10"/>
        <v>{jsdata.months[32].absences[4].absenceType}-{jsdata.months[32].month}</v>
      </c>
      <c r="D679" s="3" t="s">
        <v>8879</v>
      </c>
    </row>
    <row r="680" spans="1:4" x14ac:dyDescent="0.35">
      <c r="A680" s="3" t="s">
        <v>8874</v>
      </c>
      <c r="B680" s="3" t="s">
        <v>9629</v>
      </c>
      <c r="C680" s="3" t="str">
        <f t="shared" si="10"/>
        <v>{jsdata.months[32].absences[5].absenceType}-{jsdata.months[32].month}</v>
      </c>
      <c r="D680" s="3" t="s">
        <v>8880</v>
      </c>
    </row>
    <row r="681" spans="1:4" x14ac:dyDescent="0.35">
      <c r="A681" s="3" t="s">
        <v>8874</v>
      </c>
      <c r="B681" s="3" t="s">
        <v>9630</v>
      </c>
      <c r="C681" s="3" t="str">
        <f t="shared" si="10"/>
        <v>{jsdata.months[32].absences[6].absenceType}-{jsdata.months[32].month}</v>
      </c>
      <c r="D681" s="3" t="s">
        <v>8881</v>
      </c>
    </row>
    <row r="682" spans="1:4" x14ac:dyDescent="0.35">
      <c r="A682" s="3" t="s">
        <v>8874</v>
      </c>
      <c r="B682" s="3" t="s">
        <v>9631</v>
      </c>
      <c r="C682" s="3" t="str">
        <f t="shared" si="10"/>
        <v>{jsdata.months[32].absences[7].absenceType}-{jsdata.months[32].month}</v>
      </c>
      <c r="D682" s="3" t="s">
        <v>8882</v>
      </c>
    </row>
    <row r="683" spans="1:4" x14ac:dyDescent="0.35">
      <c r="A683" s="3" t="s">
        <v>8874</v>
      </c>
      <c r="B683" s="3" t="s">
        <v>9632</v>
      </c>
      <c r="C683" s="3" t="str">
        <f t="shared" si="10"/>
        <v>{jsdata.months[32].absences[8].absenceType}-{jsdata.months[32].month}</v>
      </c>
      <c r="D683" s="3" t="s">
        <v>8883</v>
      </c>
    </row>
    <row r="684" spans="1:4" x14ac:dyDescent="0.35">
      <c r="A684" s="3" t="s">
        <v>8874</v>
      </c>
      <c r="B684" s="3" t="s">
        <v>9633</v>
      </c>
      <c r="C684" s="3" t="str">
        <f t="shared" si="10"/>
        <v>{jsdata.months[32].absences[9].absenceType}-{jsdata.months[32].month}</v>
      </c>
      <c r="D684" s="3" t="s">
        <v>8884</v>
      </c>
    </row>
    <row r="685" spans="1:4" x14ac:dyDescent="0.35">
      <c r="A685" s="3" t="s">
        <v>8874</v>
      </c>
      <c r="B685" s="3" t="s">
        <v>9634</v>
      </c>
      <c r="C685" s="3" t="str">
        <f t="shared" si="10"/>
        <v>{jsdata.months[32].absences[10].absenceType}-{jsdata.months[32].month}</v>
      </c>
      <c r="D685" s="3" t="s">
        <v>8885</v>
      </c>
    </row>
    <row r="686" spans="1:4" x14ac:dyDescent="0.35">
      <c r="A686" s="3" t="s">
        <v>8874</v>
      </c>
      <c r="B686" s="3" t="s">
        <v>9635</v>
      </c>
      <c r="C686" s="3" t="str">
        <f t="shared" si="10"/>
        <v>{jsdata.months[32].absences[11].absenceType}-{jsdata.months[32].month}</v>
      </c>
      <c r="D686" s="3" t="s">
        <v>8886</v>
      </c>
    </row>
    <row r="687" spans="1:4" x14ac:dyDescent="0.35">
      <c r="A687" s="3" t="s">
        <v>8874</v>
      </c>
      <c r="B687" s="3" t="s">
        <v>9636</v>
      </c>
      <c r="C687" s="3" t="str">
        <f t="shared" si="10"/>
        <v>{jsdata.months[32].absences[12].absenceType}-{jsdata.months[32].month}</v>
      </c>
      <c r="D687" s="3" t="s">
        <v>8887</v>
      </c>
    </row>
    <row r="688" spans="1:4" x14ac:dyDescent="0.35">
      <c r="A688" s="3" t="s">
        <v>8874</v>
      </c>
      <c r="B688" s="3" t="s">
        <v>9637</v>
      </c>
      <c r="C688" s="3" t="str">
        <f t="shared" si="10"/>
        <v>{jsdata.months[32].absences[13].absenceType}-{jsdata.months[32].month}</v>
      </c>
      <c r="D688" s="3" t="s">
        <v>8888</v>
      </c>
    </row>
    <row r="689" spans="1:4" x14ac:dyDescent="0.35">
      <c r="A689" s="3" t="s">
        <v>8874</v>
      </c>
      <c r="B689" s="3" t="s">
        <v>9638</v>
      </c>
      <c r="C689" s="3" t="str">
        <f t="shared" si="10"/>
        <v>{jsdata.months[32].absences[14].absenceType}-{jsdata.months[32].month}</v>
      </c>
      <c r="D689" s="3" t="s">
        <v>8889</v>
      </c>
    </row>
    <row r="690" spans="1:4" x14ac:dyDescent="0.35">
      <c r="A690" s="3" t="s">
        <v>8874</v>
      </c>
      <c r="B690" s="3" t="s">
        <v>9639</v>
      </c>
      <c r="C690" s="3" t="str">
        <f t="shared" si="10"/>
        <v>{jsdata.months[32].absences[15].absenceType}-{jsdata.months[32].month}</v>
      </c>
      <c r="D690" s="3" t="s">
        <v>8890</v>
      </c>
    </row>
    <row r="691" spans="1:4" x14ac:dyDescent="0.35">
      <c r="A691" s="3" t="s">
        <v>8874</v>
      </c>
      <c r="B691" s="3" t="s">
        <v>9640</v>
      </c>
      <c r="C691" s="3" t="str">
        <f t="shared" si="10"/>
        <v>{jsdata.months[32].absences[16].absenceType}-{jsdata.months[32].month}</v>
      </c>
      <c r="D691" s="3" t="s">
        <v>8891</v>
      </c>
    </row>
    <row r="692" spans="1:4" x14ac:dyDescent="0.35">
      <c r="A692" s="3" t="s">
        <v>8874</v>
      </c>
      <c r="B692" s="3" t="s">
        <v>9641</v>
      </c>
      <c r="C692" s="3" t="str">
        <f t="shared" si="10"/>
        <v>{jsdata.months[32].absences[17].absenceType}-{jsdata.months[32].month}</v>
      </c>
      <c r="D692" s="3" t="s">
        <v>8892</v>
      </c>
    </row>
    <row r="693" spans="1:4" x14ac:dyDescent="0.35">
      <c r="A693" s="3" t="s">
        <v>8874</v>
      </c>
      <c r="B693" s="3" t="s">
        <v>9642</v>
      </c>
      <c r="C693" s="3" t="str">
        <f t="shared" si="10"/>
        <v>{jsdata.months[32].absences[18].absenceType}-{jsdata.months[32].month}</v>
      </c>
      <c r="D693" s="3" t="s">
        <v>8893</v>
      </c>
    </row>
    <row r="694" spans="1:4" x14ac:dyDescent="0.35">
      <c r="A694" s="3" t="s">
        <v>8874</v>
      </c>
      <c r="B694" s="3" t="s">
        <v>9643</v>
      </c>
      <c r="C694" s="3" t="str">
        <f t="shared" si="10"/>
        <v>{jsdata.months[32].absences[19].absenceType}-{jsdata.months[32].month}</v>
      </c>
      <c r="D694" s="3" t="s">
        <v>8894</v>
      </c>
    </row>
    <row r="695" spans="1:4" x14ac:dyDescent="0.35">
      <c r="A695" s="3" t="s">
        <v>8874</v>
      </c>
      <c r="B695" s="3" t="s">
        <v>9724</v>
      </c>
      <c r="C695" s="3" t="str">
        <f t="shared" si="10"/>
        <v>ResourcePresenceTimeSaldo-{jsdata.months[32].month}</v>
      </c>
      <c r="D695" s="3" t="s">
        <v>8895</v>
      </c>
    </row>
    <row r="696" spans="1:4" x14ac:dyDescent="0.35">
      <c r="A696" s="3" t="s">
        <v>8896</v>
      </c>
      <c r="B696" s="3" t="s">
        <v>9644</v>
      </c>
      <c r="C696" s="3" t="str">
        <f t="shared" si="10"/>
        <v>{jsdata.months[33].absences[0].absenceType}-{jsdata.months[33].month}</v>
      </c>
      <c r="D696" s="3" t="s">
        <v>8897</v>
      </c>
    </row>
    <row r="697" spans="1:4" x14ac:dyDescent="0.35">
      <c r="A697" s="3" t="s">
        <v>8896</v>
      </c>
      <c r="B697" s="3" t="s">
        <v>9645</v>
      </c>
      <c r="C697" s="3" t="str">
        <f t="shared" si="10"/>
        <v>{jsdata.months[33].absences[1].absenceType}-{jsdata.months[33].month}</v>
      </c>
      <c r="D697" s="3" t="s">
        <v>8898</v>
      </c>
    </row>
    <row r="698" spans="1:4" x14ac:dyDescent="0.35">
      <c r="A698" s="3" t="s">
        <v>8896</v>
      </c>
      <c r="B698" s="3" t="s">
        <v>9646</v>
      </c>
      <c r="C698" s="3" t="str">
        <f t="shared" si="10"/>
        <v>{jsdata.months[33].absences[2].absenceType}-{jsdata.months[33].month}</v>
      </c>
      <c r="D698" s="3" t="s">
        <v>8899</v>
      </c>
    </row>
    <row r="699" spans="1:4" x14ac:dyDescent="0.35">
      <c r="A699" s="3" t="s">
        <v>8896</v>
      </c>
      <c r="B699" s="3" t="s">
        <v>9647</v>
      </c>
      <c r="C699" s="3" t="str">
        <f t="shared" si="10"/>
        <v>{jsdata.months[33].absences[3].absenceType}-{jsdata.months[33].month}</v>
      </c>
      <c r="D699" s="3" t="s">
        <v>8900</v>
      </c>
    </row>
    <row r="700" spans="1:4" x14ac:dyDescent="0.35">
      <c r="A700" s="3" t="s">
        <v>8896</v>
      </c>
      <c r="B700" s="3" t="s">
        <v>9648</v>
      </c>
      <c r="C700" s="3" t="str">
        <f t="shared" si="10"/>
        <v>{jsdata.months[33].absences[4].absenceType}-{jsdata.months[33].month}</v>
      </c>
      <c r="D700" s="3" t="s">
        <v>8901</v>
      </c>
    </row>
    <row r="701" spans="1:4" x14ac:dyDescent="0.35">
      <c r="A701" s="3" t="s">
        <v>8896</v>
      </c>
      <c r="B701" s="3" t="s">
        <v>9649</v>
      </c>
      <c r="C701" s="3" t="str">
        <f t="shared" si="10"/>
        <v>{jsdata.months[33].absences[5].absenceType}-{jsdata.months[33].month}</v>
      </c>
      <c r="D701" s="3" t="s">
        <v>8902</v>
      </c>
    </row>
    <row r="702" spans="1:4" x14ac:dyDescent="0.35">
      <c r="A702" s="3" t="s">
        <v>8896</v>
      </c>
      <c r="B702" s="3" t="s">
        <v>9650</v>
      </c>
      <c r="C702" s="3" t="str">
        <f t="shared" si="10"/>
        <v>{jsdata.months[33].absences[6].absenceType}-{jsdata.months[33].month}</v>
      </c>
      <c r="D702" s="3" t="s">
        <v>8903</v>
      </c>
    </row>
    <row r="703" spans="1:4" x14ac:dyDescent="0.35">
      <c r="A703" s="3" t="s">
        <v>8896</v>
      </c>
      <c r="B703" s="3" t="s">
        <v>9651</v>
      </c>
      <c r="C703" s="3" t="str">
        <f t="shared" si="10"/>
        <v>{jsdata.months[33].absences[7].absenceType}-{jsdata.months[33].month}</v>
      </c>
      <c r="D703" s="3" t="s">
        <v>8904</v>
      </c>
    </row>
    <row r="704" spans="1:4" x14ac:dyDescent="0.35">
      <c r="A704" s="3" t="s">
        <v>8896</v>
      </c>
      <c r="B704" s="3" t="s">
        <v>9652</v>
      </c>
      <c r="C704" s="3" t="str">
        <f t="shared" si="10"/>
        <v>{jsdata.months[33].absences[8].absenceType}-{jsdata.months[33].month}</v>
      </c>
      <c r="D704" s="3" t="s">
        <v>8905</v>
      </c>
    </row>
    <row r="705" spans="1:4" x14ac:dyDescent="0.35">
      <c r="A705" s="3" t="s">
        <v>8896</v>
      </c>
      <c r="B705" s="3" t="s">
        <v>9653</v>
      </c>
      <c r="C705" s="3" t="str">
        <f t="shared" si="10"/>
        <v>{jsdata.months[33].absences[9].absenceType}-{jsdata.months[33].month}</v>
      </c>
      <c r="D705" s="3" t="s">
        <v>8906</v>
      </c>
    </row>
    <row r="706" spans="1:4" x14ac:dyDescent="0.35">
      <c r="A706" s="3" t="s">
        <v>8896</v>
      </c>
      <c r="B706" s="3" t="s">
        <v>9654</v>
      </c>
      <c r="C706" s="3" t="str">
        <f t="shared" si="10"/>
        <v>{jsdata.months[33].absences[10].absenceType}-{jsdata.months[33].month}</v>
      </c>
      <c r="D706" s="3" t="s">
        <v>8907</v>
      </c>
    </row>
    <row r="707" spans="1:4" x14ac:dyDescent="0.35">
      <c r="A707" s="3" t="s">
        <v>8896</v>
      </c>
      <c r="B707" s="3" t="s">
        <v>9655</v>
      </c>
      <c r="C707" s="3" t="str">
        <f t="shared" si="10"/>
        <v>{jsdata.months[33].absences[11].absenceType}-{jsdata.months[33].month}</v>
      </c>
      <c r="D707" s="3" t="s">
        <v>8908</v>
      </c>
    </row>
    <row r="708" spans="1:4" x14ac:dyDescent="0.35">
      <c r="A708" s="3" t="s">
        <v>8896</v>
      </c>
      <c r="B708" s="3" t="s">
        <v>9656</v>
      </c>
      <c r="C708" s="3" t="str">
        <f t="shared" ref="C708:C771" si="11">IF($A708&lt;&gt;"",$B708&amp;"-"&amp;$A708,"")</f>
        <v>{jsdata.months[33].absences[12].absenceType}-{jsdata.months[33].month}</v>
      </c>
      <c r="D708" s="3" t="s">
        <v>8909</v>
      </c>
    </row>
    <row r="709" spans="1:4" x14ac:dyDescent="0.35">
      <c r="A709" s="3" t="s">
        <v>8896</v>
      </c>
      <c r="B709" s="3" t="s">
        <v>9657</v>
      </c>
      <c r="C709" s="3" t="str">
        <f t="shared" si="11"/>
        <v>{jsdata.months[33].absences[13].absenceType}-{jsdata.months[33].month}</v>
      </c>
      <c r="D709" s="3" t="s">
        <v>8910</v>
      </c>
    </row>
    <row r="710" spans="1:4" x14ac:dyDescent="0.35">
      <c r="A710" s="3" t="s">
        <v>8896</v>
      </c>
      <c r="B710" s="3" t="s">
        <v>9658</v>
      </c>
      <c r="C710" s="3" t="str">
        <f t="shared" si="11"/>
        <v>{jsdata.months[33].absences[14].absenceType}-{jsdata.months[33].month}</v>
      </c>
      <c r="D710" s="3" t="s">
        <v>8911</v>
      </c>
    </row>
    <row r="711" spans="1:4" x14ac:dyDescent="0.35">
      <c r="A711" s="3" t="s">
        <v>8896</v>
      </c>
      <c r="B711" s="3" t="s">
        <v>9659</v>
      </c>
      <c r="C711" s="3" t="str">
        <f t="shared" si="11"/>
        <v>{jsdata.months[33].absences[15].absenceType}-{jsdata.months[33].month}</v>
      </c>
      <c r="D711" s="3" t="s">
        <v>8912</v>
      </c>
    </row>
    <row r="712" spans="1:4" x14ac:dyDescent="0.35">
      <c r="A712" s="3" t="s">
        <v>8896</v>
      </c>
      <c r="B712" s="3" t="s">
        <v>9660</v>
      </c>
      <c r="C712" s="3" t="str">
        <f t="shared" si="11"/>
        <v>{jsdata.months[33].absences[16].absenceType}-{jsdata.months[33].month}</v>
      </c>
      <c r="D712" s="3" t="s">
        <v>8913</v>
      </c>
    </row>
    <row r="713" spans="1:4" x14ac:dyDescent="0.35">
      <c r="A713" s="3" t="s">
        <v>8896</v>
      </c>
      <c r="B713" s="3" t="s">
        <v>9661</v>
      </c>
      <c r="C713" s="3" t="str">
        <f t="shared" si="11"/>
        <v>{jsdata.months[33].absences[17].absenceType}-{jsdata.months[33].month}</v>
      </c>
      <c r="D713" s="3" t="s">
        <v>8914</v>
      </c>
    </row>
    <row r="714" spans="1:4" x14ac:dyDescent="0.35">
      <c r="A714" s="3" t="s">
        <v>8896</v>
      </c>
      <c r="B714" s="3" t="s">
        <v>9662</v>
      </c>
      <c r="C714" s="3" t="str">
        <f t="shared" si="11"/>
        <v>{jsdata.months[33].absences[18].absenceType}-{jsdata.months[33].month}</v>
      </c>
      <c r="D714" s="3" t="s">
        <v>8915</v>
      </c>
    </row>
    <row r="715" spans="1:4" x14ac:dyDescent="0.35">
      <c r="A715" s="3" t="s">
        <v>8896</v>
      </c>
      <c r="B715" s="3" t="s">
        <v>9663</v>
      </c>
      <c r="C715" s="3" t="str">
        <f t="shared" si="11"/>
        <v>{jsdata.months[33].absences[19].absenceType}-{jsdata.months[33].month}</v>
      </c>
      <c r="D715" s="3" t="s">
        <v>8916</v>
      </c>
    </row>
    <row r="716" spans="1:4" x14ac:dyDescent="0.35">
      <c r="A716" s="3" t="s">
        <v>8896</v>
      </c>
      <c r="B716" s="3" t="s">
        <v>9724</v>
      </c>
      <c r="C716" s="3" t="str">
        <f t="shared" si="11"/>
        <v>ResourcePresenceTimeSaldo-{jsdata.months[33].month}</v>
      </c>
      <c r="D716" s="3" t="s">
        <v>8917</v>
      </c>
    </row>
    <row r="717" spans="1:4" x14ac:dyDescent="0.35">
      <c r="A717" s="3" t="s">
        <v>8918</v>
      </c>
      <c r="B717" s="3" t="s">
        <v>9664</v>
      </c>
      <c r="C717" s="3" t="str">
        <f t="shared" si="11"/>
        <v>{jsdata.months[34].absences[0].absenceType}-{jsdata.months[34].month}</v>
      </c>
      <c r="D717" s="3" t="s">
        <v>8919</v>
      </c>
    </row>
    <row r="718" spans="1:4" x14ac:dyDescent="0.35">
      <c r="A718" s="3" t="s">
        <v>8918</v>
      </c>
      <c r="B718" s="3" t="s">
        <v>9665</v>
      </c>
      <c r="C718" s="3" t="str">
        <f t="shared" si="11"/>
        <v>{jsdata.months[34].absences[1].absenceType}-{jsdata.months[34].month}</v>
      </c>
      <c r="D718" s="3" t="s">
        <v>8920</v>
      </c>
    </row>
    <row r="719" spans="1:4" x14ac:dyDescent="0.35">
      <c r="A719" s="3" t="s">
        <v>8918</v>
      </c>
      <c r="B719" s="3" t="s">
        <v>9666</v>
      </c>
      <c r="C719" s="3" t="str">
        <f t="shared" si="11"/>
        <v>{jsdata.months[34].absences[2].absenceType}-{jsdata.months[34].month}</v>
      </c>
      <c r="D719" s="3" t="s">
        <v>8921</v>
      </c>
    </row>
    <row r="720" spans="1:4" x14ac:dyDescent="0.35">
      <c r="A720" s="3" t="s">
        <v>8918</v>
      </c>
      <c r="B720" s="3" t="s">
        <v>9667</v>
      </c>
      <c r="C720" s="3" t="str">
        <f t="shared" si="11"/>
        <v>{jsdata.months[34].absences[3].absenceType}-{jsdata.months[34].month}</v>
      </c>
      <c r="D720" s="3" t="s">
        <v>8922</v>
      </c>
    </row>
    <row r="721" spans="1:4" x14ac:dyDescent="0.35">
      <c r="A721" s="3" t="s">
        <v>8918</v>
      </c>
      <c r="B721" s="3" t="s">
        <v>9668</v>
      </c>
      <c r="C721" s="3" t="str">
        <f t="shared" si="11"/>
        <v>{jsdata.months[34].absences[4].absenceType}-{jsdata.months[34].month}</v>
      </c>
      <c r="D721" s="3" t="s">
        <v>8923</v>
      </c>
    </row>
    <row r="722" spans="1:4" x14ac:dyDescent="0.35">
      <c r="A722" s="3" t="s">
        <v>8918</v>
      </c>
      <c r="B722" s="3" t="s">
        <v>9669</v>
      </c>
      <c r="C722" s="3" t="str">
        <f t="shared" si="11"/>
        <v>{jsdata.months[34].absences[5].absenceType}-{jsdata.months[34].month}</v>
      </c>
      <c r="D722" s="3" t="s">
        <v>8924</v>
      </c>
    </row>
    <row r="723" spans="1:4" x14ac:dyDescent="0.35">
      <c r="A723" s="3" t="s">
        <v>8918</v>
      </c>
      <c r="B723" s="3" t="s">
        <v>9670</v>
      </c>
      <c r="C723" s="3" t="str">
        <f t="shared" si="11"/>
        <v>{jsdata.months[34].absences[6].absenceType}-{jsdata.months[34].month}</v>
      </c>
      <c r="D723" s="3" t="s">
        <v>8925</v>
      </c>
    </row>
    <row r="724" spans="1:4" x14ac:dyDescent="0.35">
      <c r="A724" s="3" t="s">
        <v>8918</v>
      </c>
      <c r="B724" s="3" t="s">
        <v>9671</v>
      </c>
      <c r="C724" s="3" t="str">
        <f t="shared" si="11"/>
        <v>{jsdata.months[34].absences[7].absenceType}-{jsdata.months[34].month}</v>
      </c>
      <c r="D724" s="3" t="s">
        <v>8926</v>
      </c>
    </row>
    <row r="725" spans="1:4" x14ac:dyDescent="0.35">
      <c r="A725" s="3" t="s">
        <v>8918</v>
      </c>
      <c r="B725" s="3" t="s">
        <v>9672</v>
      </c>
      <c r="C725" s="3" t="str">
        <f t="shared" si="11"/>
        <v>{jsdata.months[34].absences[8].absenceType}-{jsdata.months[34].month}</v>
      </c>
      <c r="D725" s="3" t="s">
        <v>8927</v>
      </c>
    </row>
    <row r="726" spans="1:4" x14ac:dyDescent="0.35">
      <c r="A726" s="3" t="s">
        <v>8918</v>
      </c>
      <c r="B726" s="3" t="s">
        <v>9673</v>
      </c>
      <c r="C726" s="3" t="str">
        <f t="shared" si="11"/>
        <v>{jsdata.months[34].absences[9].absenceType}-{jsdata.months[34].month}</v>
      </c>
      <c r="D726" s="3" t="s">
        <v>8928</v>
      </c>
    </row>
    <row r="727" spans="1:4" x14ac:dyDescent="0.35">
      <c r="A727" s="3" t="s">
        <v>8918</v>
      </c>
      <c r="B727" s="3" t="s">
        <v>9674</v>
      </c>
      <c r="C727" s="3" t="str">
        <f t="shared" si="11"/>
        <v>{jsdata.months[34].absences[10].absenceType}-{jsdata.months[34].month}</v>
      </c>
      <c r="D727" s="3" t="s">
        <v>8929</v>
      </c>
    </row>
    <row r="728" spans="1:4" x14ac:dyDescent="0.35">
      <c r="A728" s="3" t="s">
        <v>8918</v>
      </c>
      <c r="B728" s="3" t="s">
        <v>9675</v>
      </c>
      <c r="C728" s="3" t="str">
        <f t="shared" si="11"/>
        <v>{jsdata.months[34].absences[11].absenceType}-{jsdata.months[34].month}</v>
      </c>
      <c r="D728" s="3" t="s">
        <v>8930</v>
      </c>
    </row>
    <row r="729" spans="1:4" x14ac:dyDescent="0.35">
      <c r="A729" s="3" t="s">
        <v>8918</v>
      </c>
      <c r="B729" s="3" t="s">
        <v>9676</v>
      </c>
      <c r="C729" s="3" t="str">
        <f t="shared" si="11"/>
        <v>{jsdata.months[34].absences[12].absenceType}-{jsdata.months[34].month}</v>
      </c>
      <c r="D729" s="3" t="s">
        <v>8931</v>
      </c>
    </row>
    <row r="730" spans="1:4" x14ac:dyDescent="0.35">
      <c r="A730" s="3" t="s">
        <v>8918</v>
      </c>
      <c r="B730" s="3" t="s">
        <v>9677</v>
      </c>
      <c r="C730" s="3" t="str">
        <f t="shared" si="11"/>
        <v>{jsdata.months[34].absences[13].absenceType}-{jsdata.months[34].month}</v>
      </c>
      <c r="D730" s="3" t="s">
        <v>8932</v>
      </c>
    </row>
    <row r="731" spans="1:4" x14ac:dyDescent="0.35">
      <c r="A731" s="3" t="s">
        <v>8918</v>
      </c>
      <c r="B731" s="3" t="s">
        <v>9678</v>
      </c>
      <c r="C731" s="3" t="str">
        <f t="shared" si="11"/>
        <v>{jsdata.months[34].absences[14].absenceType}-{jsdata.months[34].month}</v>
      </c>
      <c r="D731" s="3" t="s">
        <v>8933</v>
      </c>
    </row>
    <row r="732" spans="1:4" x14ac:dyDescent="0.35">
      <c r="A732" s="3" t="s">
        <v>8918</v>
      </c>
      <c r="B732" s="3" t="s">
        <v>9679</v>
      </c>
      <c r="C732" s="3" t="str">
        <f t="shared" si="11"/>
        <v>{jsdata.months[34].absences[15].absenceType}-{jsdata.months[34].month}</v>
      </c>
      <c r="D732" s="3" t="s">
        <v>8934</v>
      </c>
    </row>
    <row r="733" spans="1:4" x14ac:dyDescent="0.35">
      <c r="A733" s="3" t="s">
        <v>8918</v>
      </c>
      <c r="B733" s="3" t="s">
        <v>9680</v>
      </c>
      <c r="C733" s="3" t="str">
        <f t="shared" si="11"/>
        <v>{jsdata.months[34].absences[16].absenceType}-{jsdata.months[34].month}</v>
      </c>
      <c r="D733" s="3" t="s">
        <v>8935</v>
      </c>
    </row>
    <row r="734" spans="1:4" x14ac:dyDescent="0.35">
      <c r="A734" s="3" t="s">
        <v>8918</v>
      </c>
      <c r="B734" s="3" t="s">
        <v>9681</v>
      </c>
      <c r="C734" s="3" t="str">
        <f t="shared" si="11"/>
        <v>{jsdata.months[34].absences[17].absenceType}-{jsdata.months[34].month}</v>
      </c>
      <c r="D734" s="3" t="s">
        <v>8936</v>
      </c>
    </row>
    <row r="735" spans="1:4" x14ac:dyDescent="0.35">
      <c r="A735" s="3" t="s">
        <v>8918</v>
      </c>
      <c r="B735" s="3" t="s">
        <v>9682</v>
      </c>
      <c r="C735" s="3" t="str">
        <f t="shared" si="11"/>
        <v>{jsdata.months[34].absences[18].absenceType}-{jsdata.months[34].month}</v>
      </c>
      <c r="D735" s="3" t="s">
        <v>8937</v>
      </c>
    </row>
    <row r="736" spans="1:4" x14ac:dyDescent="0.35">
      <c r="A736" s="3" t="s">
        <v>8918</v>
      </c>
      <c r="B736" s="3" t="s">
        <v>9683</v>
      </c>
      <c r="C736" s="3" t="str">
        <f t="shared" si="11"/>
        <v>{jsdata.months[34].absences[19].absenceType}-{jsdata.months[34].month}</v>
      </c>
      <c r="D736" s="3" t="s">
        <v>8938</v>
      </c>
    </row>
    <row r="737" spans="1:4" x14ac:dyDescent="0.35">
      <c r="A737" s="3" t="s">
        <v>8918</v>
      </c>
      <c r="B737" s="3" t="s">
        <v>9724</v>
      </c>
      <c r="C737" s="3" t="str">
        <f t="shared" si="11"/>
        <v>ResourcePresenceTimeSaldo-{jsdata.months[34].month}</v>
      </c>
      <c r="D737" s="3" t="s">
        <v>8939</v>
      </c>
    </row>
    <row r="738" spans="1:4" x14ac:dyDescent="0.35">
      <c r="A738" s="3" t="s">
        <v>8940</v>
      </c>
      <c r="B738" s="3" t="s">
        <v>9684</v>
      </c>
      <c r="C738" s="3" t="str">
        <f t="shared" si="11"/>
        <v>{jsdata.months[35].absences[0].absenceType}-{jsdata.months[35].month}</v>
      </c>
      <c r="D738" s="3" t="s">
        <v>8941</v>
      </c>
    </row>
    <row r="739" spans="1:4" x14ac:dyDescent="0.35">
      <c r="A739" s="3" t="s">
        <v>8940</v>
      </c>
      <c r="B739" s="3" t="s">
        <v>9685</v>
      </c>
      <c r="C739" s="3" t="str">
        <f t="shared" si="11"/>
        <v>{jsdata.months[35].absences[1].absenceType}-{jsdata.months[35].month}</v>
      </c>
      <c r="D739" s="3" t="s">
        <v>8942</v>
      </c>
    </row>
    <row r="740" spans="1:4" x14ac:dyDescent="0.35">
      <c r="A740" s="3" t="s">
        <v>8940</v>
      </c>
      <c r="B740" s="3" t="s">
        <v>9686</v>
      </c>
      <c r="C740" s="3" t="str">
        <f t="shared" si="11"/>
        <v>{jsdata.months[35].absences[2].absenceType}-{jsdata.months[35].month}</v>
      </c>
      <c r="D740" s="3" t="s">
        <v>8943</v>
      </c>
    </row>
    <row r="741" spans="1:4" x14ac:dyDescent="0.35">
      <c r="A741" s="3" t="s">
        <v>8940</v>
      </c>
      <c r="B741" s="3" t="s">
        <v>9687</v>
      </c>
      <c r="C741" s="3" t="str">
        <f t="shared" si="11"/>
        <v>{jsdata.months[35].absences[3].absenceType}-{jsdata.months[35].month}</v>
      </c>
      <c r="D741" s="3" t="s">
        <v>8944</v>
      </c>
    </row>
    <row r="742" spans="1:4" x14ac:dyDescent="0.35">
      <c r="A742" s="3" t="s">
        <v>8940</v>
      </c>
      <c r="B742" s="3" t="s">
        <v>9688</v>
      </c>
      <c r="C742" s="3" t="str">
        <f t="shared" si="11"/>
        <v>{jsdata.months[35].absences[4].absenceType}-{jsdata.months[35].month}</v>
      </c>
      <c r="D742" s="3" t="s">
        <v>8945</v>
      </c>
    </row>
    <row r="743" spans="1:4" x14ac:dyDescent="0.35">
      <c r="A743" s="3" t="s">
        <v>8940</v>
      </c>
      <c r="B743" s="3" t="s">
        <v>9689</v>
      </c>
      <c r="C743" s="3" t="str">
        <f t="shared" si="11"/>
        <v>{jsdata.months[35].absences[5].absenceType}-{jsdata.months[35].month}</v>
      </c>
      <c r="D743" s="3" t="s">
        <v>8946</v>
      </c>
    </row>
    <row r="744" spans="1:4" x14ac:dyDescent="0.35">
      <c r="A744" s="3" t="s">
        <v>8940</v>
      </c>
      <c r="B744" s="3" t="s">
        <v>9690</v>
      </c>
      <c r="C744" s="3" t="str">
        <f t="shared" si="11"/>
        <v>{jsdata.months[35].absences[6].absenceType}-{jsdata.months[35].month}</v>
      </c>
      <c r="D744" s="3" t="s">
        <v>8947</v>
      </c>
    </row>
    <row r="745" spans="1:4" x14ac:dyDescent="0.35">
      <c r="A745" s="3" t="s">
        <v>8940</v>
      </c>
      <c r="B745" s="3" t="s">
        <v>9691</v>
      </c>
      <c r="C745" s="3" t="str">
        <f t="shared" si="11"/>
        <v>{jsdata.months[35].absences[7].absenceType}-{jsdata.months[35].month}</v>
      </c>
      <c r="D745" s="3" t="s">
        <v>8948</v>
      </c>
    </row>
    <row r="746" spans="1:4" x14ac:dyDescent="0.35">
      <c r="A746" s="3" t="s">
        <v>8940</v>
      </c>
      <c r="B746" s="3" t="s">
        <v>9692</v>
      </c>
      <c r="C746" s="3" t="str">
        <f t="shared" si="11"/>
        <v>{jsdata.months[35].absences[8].absenceType}-{jsdata.months[35].month}</v>
      </c>
      <c r="D746" s="3" t="s">
        <v>8949</v>
      </c>
    </row>
    <row r="747" spans="1:4" x14ac:dyDescent="0.35">
      <c r="A747" s="3" t="s">
        <v>8940</v>
      </c>
      <c r="B747" s="3" t="s">
        <v>9693</v>
      </c>
      <c r="C747" s="3" t="str">
        <f t="shared" si="11"/>
        <v>{jsdata.months[35].absences[9].absenceType}-{jsdata.months[35].month}</v>
      </c>
      <c r="D747" s="3" t="s">
        <v>8950</v>
      </c>
    </row>
    <row r="748" spans="1:4" x14ac:dyDescent="0.35">
      <c r="A748" s="3" t="s">
        <v>8940</v>
      </c>
      <c r="B748" s="3" t="s">
        <v>9694</v>
      </c>
      <c r="C748" s="3" t="str">
        <f t="shared" si="11"/>
        <v>{jsdata.months[35].absences[10].absenceType}-{jsdata.months[35].month}</v>
      </c>
      <c r="D748" s="3" t="s">
        <v>8951</v>
      </c>
    </row>
    <row r="749" spans="1:4" x14ac:dyDescent="0.35">
      <c r="A749" s="3" t="s">
        <v>8940</v>
      </c>
      <c r="B749" s="3" t="s">
        <v>9695</v>
      </c>
      <c r="C749" s="3" t="str">
        <f t="shared" si="11"/>
        <v>{jsdata.months[35].absences[11].absenceType}-{jsdata.months[35].month}</v>
      </c>
      <c r="D749" s="3" t="s">
        <v>8952</v>
      </c>
    </row>
    <row r="750" spans="1:4" x14ac:dyDescent="0.35">
      <c r="A750" s="3" t="s">
        <v>8940</v>
      </c>
      <c r="B750" s="3" t="s">
        <v>9696</v>
      </c>
      <c r="C750" s="3" t="str">
        <f t="shared" si="11"/>
        <v>{jsdata.months[35].absences[12].absenceType}-{jsdata.months[35].month}</v>
      </c>
      <c r="D750" s="3" t="s">
        <v>8953</v>
      </c>
    </row>
    <row r="751" spans="1:4" x14ac:dyDescent="0.35">
      <c r="A751" s="3" t="s">
        <v>8940</v>
      </c>
      <c r="B751" s="3" t="s">
        <v>9697</v>
      </c>
      <c r="C751" s="3" t="str">
        <f t="shared" si="11"/>
        <v>{jsdata.months[35].absences[13].absenceType}-{jsdata.months[35].month}</v>
      </c>
      <c r="D751" s="3" t="s">
        <v>8954</v>
      </c>
    </row>
    <row r="752" spans="1:4" x14ac:dyDescent="0.35">
      <c r="A752" s="3" t="s">
        <v>8940</v>
      </c>
      <c r="B752" s="3" t="s">
        <v>9698</v>
      </c>
      <c r="C752" s="3" t="str">
        <f t="shared" si="11"/>
        <v>{jsdata.months[35].absences[14].absenceType}-{jsdata.months[35].month}</v>
      </c>
      <c r="D752" s="3" t="s">
        <v>8955</v>
      </c>
    </row>
    <row r="753" spans="1:4" x14ac:dyDescent="0.35">
      <c r="A753" s="3" t="s">
        <v>8940</v>
      </c>
      <c r="B753" s="3" t="s">
        <v>9699</v>
      </c>
      <c r="C753" s="3" t="str">
        <f t="shared" si="11"/>
        <v>{jsdata.months[35].absences[15].absenceType}-{jsdata.months[35].month}</v>
      </c>
      <c r="D753" s="3" t="s">
        <v>8956</v>
      </c>
    </row>
    <row r="754" spans="1:4" x14ac:dyDescent="0.35">
      <c r="A754" s="3" t="s">
        <v>8940</v>
      </c>
      <c r="B754" s="3" t="s">
        <v>9700</v>
      </c>
      <c r="C754" s="3" t="str">
        <f t="shared" si="11"/>
        <v>{jsdata.months[35].absences[16].absenceType}-{jsdata.months[35].month}</v>
      </c>
      <c r="D754" s="3" t="s">
        <v>8957</v>
      </c>
    </row>
    <row r="755" spans="1:4" x14ac:dyDescent="0.35">
      <c r="A755" s="3" t="s">
        <v>8940</v>
      </c>
      <c r="B755" s="3" t="s">
        <v>9701</v>
      </c>
      <c r="C755" s="3" t="str">
        <f t="shared" si="11"/>
        <v>{jsdata.months[35].absences[17].absenceType}-{jsdata.months[35].month}</v>
      </c>
      <c r="D755" s="3" t="s">
        <v>8958</v>
      </c>
    </row>
    <row r="756" spans="1:4" x14ac:dyDescent="0.35">
      <c r="A756" s="3" t="s">
        <v>8940</v>
      </c>
      <c r="B756" s="3" t="s">
        <v>9702</v>
      </c>
      <c r="C756" s="3" t="str">
        <f t="shared" si="11"/>
        <v>{jsdata.months[35].absences[18].absenceType}-{jsdata.months[35].month}</v>
      </c>
      <c r="D756" s="3" t="s">
        <v>8959</v>
      </c>
    </row>
    <row r="757" spans="1:4" x14ac:dyDescent="0.35">
      <c r="A757" s="3" t="s">
        <v>8940</v>
      </c>
      <c r="B757" s="3" t="s">
        <v>9703</v>
      </c>
      <c r="C757" s="3" t="str">
        <f t="shared" si="11"/>
        <v>{jsdata.months[35].absences[19].absenceType}-{jsdata.months[35].month}</v>
      </c>
      <c r="D757" s="3" t="s">
        <v>8960</v>
      </c>
    </row>
    <row r="758" spans="1:4" x14ac:dyDescent="0.35">
      <c r="A758" s="3" t="s">
        <v>8940</v>
      </c>
      <c r="B758" s="3" t="s">
        <v>9724</v>
      </c>
      <c r="C758" s="3" t="str">
        <f t="shared" si="11"/>
        <v>ResourcePresenceTimeSaldo-{jsdata.months[35].month}</v>
      </c>
      <c r="D758" s="3" t="s">
        <v>8961</v>
      </c>
    </row>
    <row r="759" spans="1:4" x14ac:dyDescent="0.35">
      <c r="A759" s="3" t="s">
        <v>8962</v>
      </c>
      <c r="B759" s="3" t="s">
        <v>9704</v>
      </c>
      <c r="C759" s="3" t="str">
        <f t="shared" si="11"/>
        <v>{jsdata.months[36].absences[0].absenceType}-{jsdata.months[36].month}</v>
      </c>
      <c r="D759" s="3" t="s">
        <v>8963</v>
      </c>
    </row>
    <row r="760" spans="1:4" x14ac:dyDescent="0.35">
      <c r="A760" s="3" t="s">
        <v>8962</v>
      </c>
      <c r="B760" s="3" t="s">
        <v>9705</v>
      </c>
      <c r="C760" s="3" t="str">
        <f t="shared" si="11"/>
        <v>{jsdata.months[36].absences[1].absenceType}-{jsdata.months[36].month}</v>
      </c>
      <c r="D760" s="3" t="s">
        <v>8964</v>
      </c>
    </row>
    <row r="761" spans="1:4" x14ac:dyDescent="0.35">
      <c r="A761" s="3" t="s">
        <v>8962</v>
      </c>
      <c r="B761" s="3" t="s">
        <v>9706</v>
      </c>
      <c r="C761" s="3" t="str">
        <f t="shared" si="11"/>
        <v>{jsdata.months[36].absences[2].absenceType}-{jsdata.months[36].month}</v>
      </c>
      <c r="D761" s="3" t="s">
        <v>8965</v>
      </c>
    </row>
    <row r="762" spans="1:4" x14ac:dyDescent="0.35">
      <c r="A762" s="3" t="s">
        <v>8962</v>
      </c>
      <c r="B762" s="3" t="s">
        <v>9707</v>
      </c>
      <c r="C762" s="3" t="str">
        <f t="shared" si="11"/>
        <v>{jsdata.months[36].absences[3].absenceType}-{jsdata.months[36].month}</v>
      </c>
      <c r="D762" s="3" t="s">
        <v>8966</v>
      </c>
    </row>
    <row r="763" spans="1:4" x14ac:dyDescent="0.35">
      <c r="A763" s="3" t="s">
        <v>8962</v>
      </c>
      <c r="B763" s="3" t="s">
        <v>9708</v>
      </c>
      <c r="C763" s="3" t="str">
        <f t="shared" si="11"/>
        <v>{jsdata.months[36].absences[4].absenceType}-{jsdata.months[36].month}</v>
      </c>
      <c r="D763" s="3" t="s">
        <v>8967</v>
      </c>
    </row>
    <row r="764" spans="1:4" x14ac:dyDescent="0.35">
      <c r="A764" s="3" t="s">
        <v>8962</v>
      </c>
      <c r="B764" s="3" t="s">
        <v>9709</v>
      </c>
      <c r="C764" s="3" t="str">
        <f t="shared" si="11"/>
        <v>{jsdata.months[36].absences[5].absenceType}-{jsdata.months[36].month}</v>
      </c>
      <c r="D764" s="3" t="s">
        <v>8968</v>
      </c>
    </row>
    <row r="765" spans="1:4" x14ac:dyDescent="0.35">
      <c r="A765" s="3" t="s">
        <v>8962</v>
      </c>
      <c r="B765" s="3" t="s">
        <v>9710</v>
      </c>
      <c r="C765" s="3" t="str">
        <f t="shared" si="11"/>
        <v>{jsdata.months[36].absences[6].absenceType}-{jsdata.months[36].month}</v>
      </c>
      <c r="D765" s="3" t="s">
        <v>8969</v>
      </c>
    </row>
    <row r="766" spans="1:4" x14ac:dyDescent="0.35">
      <c r="A766" s="3" t="s">
        <v>8962</v>
      </c>
      <c r="B766" s="3" t="s">
        <v>9711</v>
      </c>
      <c r="C766" s="3" t="str">
        <f t="shared" si="11"/>
        <v>{jsdata.months[36].absences[7].absenceType}-{jsdata.months[36].month}</v>
      </c>
      <c r="D766" s="3" t="s">
        <v>8970</v>
      </c>
    </row>
    <row r="767" spans="1:4" x14ac:dyDescent="0.35">
      <c r="A767" s="3" t="s">
        <v>8962</v>
      </c>
      <c r="B767" s="3" t="s">
        <v>9712</v>
      </c>
      <c r="C767" s="3" t="str">
        <f t="shared" si="11"/>
        <v>{jsdata.months[36].absences[8].absenceType}-{jsdata.months[36].month}</v>
      </c>
      <c r="D767" s="3" t="s">
        <v>8971</v>
      </c>
    </row>
    <row r="768" spans="1:4" x14ac:dyDescent="0.35">
      <c r="A768" s="3" t="s">
        <v>8962</v>
      </c>
      <c r="B768" s="3" t="s">
        <v>9713</v>
      </c>
      <c r="C768" s="3" t="str">
        <f t="shared" si="11"/>
        <v>{jsdata.months[36].absences[9].absenceType}-{jsdata.months[36].month}</v>
      </c>
      <c r="D768" s="3" t="s">
        <v>8972</v>
      </c>
    </row>
    <row r="769" spans="1:4" x14ac:dyDescent="0.35">
      <c r="A769" s="3" t="s">
        <v>8962</v>
      </c>
      <c r="B769" s="3" t="s">
        <v>9714</v>
      </c>
      <c r="C769" s="3" t="str">
        <f t="shared" si="11"/>
        <v>{jsdata.months[36].absences[10].absenceType}-{jsdata.months[36].month}</v>
      </c>
      <c r="D769" s="3" t="s">
        <v>8973</v>
      </c>
    </row>
    <row r="770" spans="1:4" x14ac:dyDescent="0.35">
      <c r="A770" s="3" t="s">
        <v>8962</v>
      </c>
      <c r="B770" s="3" t="s">
        <v>9715</v>
      </c>
      <c r="C770" s="3" t="str">
        <f t="shared" si="11"/>
        <v>{jsdata.months[36].absences[11].absenceType}-{jsdata.months[36].month}</v>
      </c>
      <c r="D770" s="3" t="s">
        <v>8974</v>
      </c>
    </row>
    <row r="771" spans="1:4" x14ac:dyDescent="0.35">
      <c r="A771" s="3" t="s">
        <v>8962</v>
      </c>
      <c r="B771" s="3" t="s">
        <v>9716</v>
      </c>
      <c r="C771" s="3" t="str">
        <f t="shared" si="11"/>
        <v>{jsdata.months[36].absences[12].absenceType}-{jsdata.months[36].month}</v>
      </c>
      <c r="D771" s="3" t="s">
        <v>8975</v>
      </c>
    </row>
    <row r="772" spans="1:4" x14ac:dyDescent="0.35">
      <c r="A772" s="3" t="s">
        <v>8962</v>
      </c>
      <c r="B772" s="3" t="s">
        <v>9717</v>
      </c>
      <c r="C772" s="3" t="str">
        <f t="shared" ref="C772:C779" si="12">IF($A772&lt;&gt;"",$B772&amp;"-"&amp;$A772,"")</f>
        <v>{jsdata.months[36].absences[13].absenceType}-{jsdata.months[36].month}</v>
      </c>
      <c r="D772" s="3" t="s">
        <v>8976</v>
      </c>
    </row>
    <row r="773" spans="1:4" x14ac:dyDescent="0.35">
      <c r="A773" s="3" t="s">
        <v>8962</v>
      </c>
      <c r="B773" s="3" t="s">
        <v>9718</v>
      </c>
      <c r="C773" s="3" t="str">
        <f t="shared" si="12"/>
        <v>{jsdata.months[36].absences[14].absenceType}-{jsdata.months[36].month}</v>
      </c>
      <c r="D773" s="3" t="s">
        <v>8977</v>
      </c>
    </row>
    <row r="774" spans="1:4" x14ac:dyDescent="0.35">
      <c r="A774" s="3" t="s">
        <v>8962</v>
      </c>
      <c r="B774" s="3" t="s">
        <v>9719</v>
      </c>
      <c r="C774" s="3" t="str">
        <f t="shared" si="12"/>
        <v>{jsdata.months[36].absences[15].absenceType}-{jsdata.months[36].month}</v>
      </c>
      <c r="D774" s="3" t="s">
        <v>8978</v>
      </c>
    </row>
    <row r="775" spans="1:4" x14ac:dyDescent="0.35">
      <c r="A775" s="3" t="s">
        <v>8962</v>
      </c>
      <c r="B775" s="3" t="s">
        <v>9720</v>
      </c>
      <c r="C775" s="3" t="str">
        <f t="shared" si="12"/>
        <v>{jsdata.months[36].absences[16].absenceType}-{jsdata.months[36].month}</v>
      </c>
      <c r="D775" s="3" t="s">
        <v>8979</v>
      </c>
    </row>
    <row r="776" spans="1:4" x14ac:dyDescent="0.35">
      <c r="A776" s="3" t="s">
        <v>8962</v>
      </c>
      <c r="B776" s="3" t="s">
        <v>9721</v>
      </c>
      <c r="C776" s="3" t="str">
        <f t="shared" si="12"/>
        <v>{jsdata.months[36].absences[17].absenceType}-{jsdata.months[36].month}</v>
      </c>
      <c r="D776" s="3" t="s">
        <v>8980</v>
      </c>
    </row>
    <row r="777" spans="1:4" x14ac:dyDescent="0.35">
      <c r="A777" s="3" t="s">
        <v>8962</v>
      </c>
      <c r="B777" s="3" t="s">
        <v>9722</v>
      </c>
      <c r="C777" s="3" t="str">
        <f t="shared" si="12"/>
        <v>{jsdata.months[36].absences[18].absenceType}-{jsdata.months[36].month}</v>
      </c>
      <c r="D777" s="3" t="s">
        <v>8981</v>
      </c>
    </row>
    <row r="778" spans="1:4" x14ac:dyDescent="0.35">
      <c r="A778" s="3" t="s">
        <v>8962</v>
      </c>
      <c r="B778" s="3" t="s">
        <v>9723</v>
      </c>
      <c r="C778" s="3" t="str">
        <f t="shared" si="12"/>
        <v>{jsdata.months[36].absences[19].absenceType}-{jsdata.months[36].month}</v>
      </c>
      <c r="D778" s="3" t="s">
        <v>8982</v>
      </c>
    </row>
    <row r="779" spans="1:4" x14ac:dyDescent="0.35">
      <c r="A779" s="3" t="s">
        <v>8962</v>
      </c>
      <c r="B779" s="3" t="s">
        <v>9724</v>
      </c>
      <c r="C779" s="3" t="str">
        <f t="shared" si="12"/>
        <v>ResourcePresenceTimeSaldo-{jsdata.months[36].month}</v>
      </c>
      <c r="D779" s="3" t="s">
        <v>8983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C4A9-B282-4164-B924-A4571C7C0678}">
  <dimension ref="A1:E67"/>
  <sheetViews>
    <sheetView topLeftCell="A3" workbookViewId="0">
      <selection sqref="A1:AD2"/>
    </sheetView>
  </sheetViews>
  <sheetFormatPr defaultRowHeight="14.5" x14ac:dyDescent="0.35"/>
  <cols>
    <col min="1" max="4" width="18.1796875" customWidth="1"/>
    <col min="5" max="5" width="66.1796875" customWidth="1"/>
  </cols>
  <sheetData>
    <row r="1" spans="1:5" x14ac:dyDescent="0.35">
      <c r="A1" s="2" t="s">
        <v>392</v>
      </c>
      <c r="B1" s="1"/>
      <c r="C1" s="1"/>
      <c r="D1" s="1"/>
      <c r="E1" s="1"/>
    </row>
    <row r="2" spans="1:5" x14ac:dyDescent="0.35">
      <c r="A2" s="1" t="s">
        <v>195</v>
      </c>
      <c r="B2" s="1" t="s">
        <v>192</v>
      </c>
      <c r="C2" s="1" t="s">
        <v>193</v>
      </c>
      <c r="D2" s="1" t="s">
        <v>194</v>
      </c>
      <c r="E2" s="1" t="s">
        <v>196</v>
      </c>
    </row>
    <row r="3" spans="1:5" x14ac:dyDescent="0.35">
      <c r="A3" s="3" t="s">
        <v>398</v>
      </c>
      <c r="B3" s="3" t="s">
        <v>197</v>
      </c>
      <c r="C3" s="3" t="str">
        <f>IF($B3&lt;&gt;"",$B3&amp;"-"&amp;$A3,"")</f>
        <v>{jsdata.corrections[0].type}-{jsdata.corrections[0].date}</v>
      </c>
      <c r="D3" s="3" t="s">
        <v>198</v>
      </c>
      <c r="E3" s="3" t="s">
        <v>199</v>
      </c>
    </row>
    <row r="4" spans="1:5" x14ac:dyDescent="0.35">
      <c r="A4" s="3" t="s">
        <v>399</v>
      </c>
      <c r="B4" s="3" t="s">
        <v>200</v>
      </c>
      <c r="C4" s="3" t="str">
        <f t="shared" ref="C4:C67" si="0">IF($B4&lt;&gt;"",$B4&amp;"-"&amp;$A4,"")</f>
        <v>{jsdata.corrections[1].type}-{jsdata.corrections[1].date}</v>
      </c>
      <c r="D4" s="3" t="s">
        <v>201</v>
      </c>
      <c r="E4" s="3" t="s">
        <v>202</v>
      </c>
    </row>
    <row r="5" spans="1:5" x14ac:dyDescent="0.35">
      <c r="A5" s="3" t="s">
        <v>400</v>
      </c>
      <c r="B5" s="3" t="s">
        <v>203</v>
      </c>
      <c r="C5" s="3" t="str">
        <f t="shared" si="0"/>
        <v>{jsdata.corrections[2].type}-{jsdata.corrections[2].date}</v>
      </c>
      <c r="D5" s="3" t="s">
        <v>204</v>
      </c>
      <c r="E5" s="3" t="s">
        <v>205</v>
      </c>
    </row>
    <row r="6" spans="1:5" x14ac:dyDescent="0.35">
      <c r="A6" s="3" t="s">
        <v>401</v>
      </c>
      <c r="B6" s="3" t="s">
        <v>206</v>
      </c>
      <c r="C6" s="3" t="str">
        <f t="shared" si="0"/>
        <v>{jsdata.corrections[3].type}-{jsdata.corrections[3].date}</v>
      </c>
      <c r="D6" s="3" t="s">
        <v>207</v>
      </c>
      <c r="E6" s="3" t="s">
        <v>208</v>
      </c>
    </row>
    <row r="7" spans="1:5" x14ac:dyDescent="0.35">
      <c r="A7" s="3" t="s">
        <v>402</v>
      </c>
      <c r="B7" s="3" t="s">
        <v>209</v>
      </c>
      <c r="C7" s="3" t="str">
        <f t="shared" si="0"/>
        <v>{jsdata.corrections[4].type}-{jsdata.corrections[4].date}</v>
      </c>
      <c r="D7" s="3" t="s">
        <v>210</v>
      </c>
      <c r="E7" s="3" t="s">
        <v>211</v>
      </c>
    </row>
    <row r="8" spans="1:5" x14ac:dyDescent="0.35">
      <c r="A8" s="3" t="s">
        <v>403</v>
      </c>
      <c r="B8" s="3" t="s">
        <v>212</v>
      </c>
      <c r="C8" s="3" t="str">
        <f t="shared" si="0"/>
        <v>{jsdata.corrections[5].type}-{jsdata.corrections[5].date}</v>
      </c>
      <c r="D8" s="3" t="s">
        <v>213</v>
      </c>
      <c r="E8" s="3" t="s">
        <v>214</v>
      </c>
    </row>
    <row r="9" spans="1:5" x14ac:dyDescent="0.35">
      <c r="A9" s="3" t="s">
        <v>404</v>
      </c>
      <c r="B9" s="3" t="s">
        <v>215</v>
      </c>
      <c r="C9" s="3" t="str">
        <f t="shared" si="0"/>
        <v>{jsdata.corrections[6].type}-{jsdata.corrections[6].date}</v>
      </c>
      <c r="D9" s="3" t="s">
        <v>216</v>
      </c>
      <c r="E9" s="3" t="s">
        <v>217</v>
      </c>
    </row>
    <row r="10" spans="1:5" x14ac:dyDescent="0.35">
      <c r="A10" s="3" t="s">
        <v>405</v>
      </c>
      <c r="B10" s="3" t="s">
        <v>218</v>
      </c>
      <c r="C10" s="3" t="str">
        <f t="shared" si="0"/>
        <v>{jsdata.corrections[7].type}-{jsdata.corrections[7].date}</v>
      </c>
      <c r="D10" s="3" t="s">
        <v>219</v>
      </c>
      <c r="E10" s="3" t="s">
        <v>220</v>
      </c>
    </row>
    <row r="11" spans="1:5" x14ac:dyDescent="0.35">
      <c r="A11" s="3" t="s">
        <v>406</v>
      </c>
      <c r="B11" s="3" t="s">
        <v>221</v>
      </c>
      <c r="C11" s="3" t="str">
        <f t="shared" si="0"/>
        <v>{jsdata.corrections[8].type}-{jsdata.corrections[8].date}</v>
      </c>
      <c r="D11" s="3" t="s">
        <v>222</v>
      </c>
      <c r="E11" s="3" t="s">
        <v>223</v>
      </c>
    </row>
    <row r="12" spans="1:5" x14ac:dyDescent="0.35">
      <c r="A12" s="3" t="s">
        <v>407</v>
      </c>
      <c r="B12" s="3" t="s">
        <v>224</v>
      </c>
      <c r="C12" s="3" t="str">
        <f t="shared" si="0"/>
        <v>{jsdata.corrections[9].type}-{jsdata.corrections[9].date}</v>
      </c>
      <c r="D12" s="3" t="s">
        <v>225</v>
      </c>
      <c r="E12" s="3" t="s">
        <v>226</v>
      </c>
    </row>
    <row r="13" spans="1:5" x14ac:dyDescent="0.35">
      <c r="A13" s="3" t="s">
        <v>408</v>
      </c>
      <c r="B13" s="3" t="s">
        <v>227</v>
      </c>
      <c r="C13" s="3" t="str">
        <f t="shared" si="0"/>
        <v>{jsdata.corrections[10].type}-{jsdata.corrections[10].date}</v>
      </c>
      <c r="D13" s="3" t="s">
        <v>228</v>
      </c>
      <c r="E13" s="3" t="s">
        <v>229</v>
      </c>
    </row>
    <row r="14" spans="1:5" x14ac:dyDescent="0.35">
      <c r="A14" s="3" t="s">
        <v>409</v>
      </c>
      <c r="B14" s="3" t="s">
        <v>230</v>
      </c>
      <c r="C14" s="3" t="str">
        <f t="shared" si="0"/>
        <v>{jsdata.corrections[11].type}-{jsdata.corrections[11].date}</v>
      </c>
      <c r="D14" s="3" t="s">
        <v>231</v>
      </c>
      <c r="E14" s="3" t="s">
        <v>232</v>
      </c>
    </row>
    <row r="15" spans="1:5" x14ac:dyDescent="0.35">
      <c r="A15" s="3" t="s">
        <v>410</v>
      </c>
      <c r="B15" s="3" t="s">
        <v>233</v>
      </c>
      <c r="C15" s="3" t="str">
        <f t="shared" si="0"/>
        <v>{jsdata.corrections[12].type}-{jsdata.corrections[12].date}</v>
      </c>
      <c r="D15" s="3" t="s">
        <v>234</v>
      </c>
      <c r="E15" s="3" t="s">
        <v>235</v>
      </c>
    </row>
    <row r="16" spans="1:5" x14ac:dyDescent="0.35">
      <c r="A16" s="3" t="s">
        <v>411</v>
      </c>
      <c r="B16" s="3" t="s">
        <v>236</v>
      </c>
      <c r="C16" s="3" t="str">
        <f t="shared" si="0"/>
        <v>{jsdata.corrections[13].type}-{jsdata.corrections[13].date}</v>
      </c>
      <c r="D16" s="3" t="s">
        <v>237</v>
      </c>
      <c r="E16" s="3" t="s">
        <v>238</v>
      </c>
    </row>
    <row r="17" spans="1:5" x14ac:dyDescent="0.35">
      <c r="A17" s="3" t="s">
        <v>412</v>
      </c>
      <c r="B17" s="3" t="s">
        <v>239</v>
      </c>
      <c r="C17" s="3" t="str">
        <f t="shared" si="0"/>
        <v>{jsdata.corrections[14].type}-{jsdata.corrections[14].date}</v>
      </c>
      <c r="D17" s="3" t="s">
        <v>240</v>
      </c>
      <c r="E17" s="3" t="s">
        <v>241</v>
      </c>
    </row>
    <row r="18" spans="1:5" x14ac:dyDescent="0.35">
      <c r="A18" s="3" t="s">
        <v>413</v>
      </c>
      <c r="B18" s="3" t="s">
        <v>242</v>
      </c>
      <c r="C18" s="3" t="str">
        <f t="shared" si="0"/>
        <v>{jsdata.corrections[15].type}-{jsdata.corrections[15].date}</v>
      </c>
      <c r="D18" s="3" t="s">
        <v>243</v>
      </c>
      <c r="E18" s="3" t="s">
        <v>244</v>
      </c>
    </row>
    <row r="19" spans="1:5" x14ac:dyDescent="0.35">
      <c r="A19" s="3" t="s">
        <v>414</v>
      </c>
      <c r="B19" s="3" t="s">
        <v>245</v>
      </c>
      <c r="C19" s="3" t="str">
        <f t="shared" si="0"/>
        <v>{jsdata.corrections[16].type}-{jsdata.corrections[16].date}</v>
      </c>
      <c r="D19" s="3" t="s">
        <v>246</v>
      </c>
      <c r="E19" s="3" t="s">
        <v>247</v>
      </c>
    </row>
    <row r="20" spans="1:5" x14ac:dyDescent="0.35">
      <c r="A20" s="3" t="s">
        <v>415</v>
      </c>
      <c r="B20" s="3" t="s">
        <v>248</v>
      </c>
      <c r="C20" s="3" t="str">
        <f t="shared" si="0"/>
        <v>{jsdata.corrections[17].type}-{jsdata.corrections[17].date}</v>
      </c>
      <c r="D20" s="3" t="s">
        <v>249</v>
      </c>
      <c r="E20" s="3" t="s">
        <v>250</v>
      </c>
    </row>
    <row r="21" spans="1:5" x14ac:dyDescent="0.35">
      <c r="A21" s="3" t="s">
        <v>416</v>
      </c>
      <c r="B21" s="3" t="s">
        <v>251</v>
      </c>
      <c r="C21" s="3" t="str">
        <f t="shared" si="0"/>
        <v>{jsdata.corrections[18].type}-{jsdata.corrections[18].date}</v>
      </c>
      <c r="D21" s="3" t="s">
        <v>252</v>
      </c>
      <c r="E21" s="3" t="s">
        <v>253</v>
      </c>
    </row>
    <row r="22" spans="1:5" x14ac:dyDescent="0.35">
      <c r="A22" s="3" t="s">
        <v>417</v>
      </c>
      <c r="B22" s="3" t="s">
        <v>254</v>
      </c>
      <c r="C22" s="3" t="str">
        <f t="shared" si="0"/>
        <v>{jsdata.corrections[19].type}-{jsdata.corrections[19].date}</v>
      </c>
      <c r="D22" s="3" t="s">
        <v>255</v>
      </c>
      <c r="E22" s="3" t="s">
        <v>256</v>
      </c>
    </row>
    <row r="23" spans="1:5" x14ac:dyDescent="0.35">
      <c r="A23" s="3" t="s">
        <v>418</v>
      </c>
      <c r="B23" s="3" t="s">
        <v>257</v>
      </c>
      <c r="C23" s="3" t="str">
        <f t="shared" si="0"/>
        <v>{jsdata.corrections[20].type}-{jsdata.corrections[20].date}</v>
      </c>
      <c r="D23" s="3" t="s">
        <v>258</v>
      </c>
      <c r="E23" s="3" t="s">
        <v>259</v>
      </c>
    </row>
    <row r="24" spans="1:5" x14ac:dyDescent="0.35">
      <c r="A24" s="3" t="s">
        <v>419</v>
      </c>
      <c r="B24" s="3" t="s">
        <v>260</v>
      </c>
      <c r="C24" s="3" t="str">
        <f t="shared" si="0"/>
        <v>{jsdata.corrections[21].type}-{jsdata.corrections[21].date}</v>
      </c>
      <c r="D24" s="3" t="s">
        <v>261</v>
      </c>
      <c r="E24" s="3" t="s">
        <v>262</v>
      </c>
    </row>
    <row r="25" spans="1:5" x14ac:dyDescent="0.35">
      <c r="A25" s="3" t="s">
        <v>420</v>
      </c>
      <c r="B25" s="3" t="s">
        <v>263</v>
      </c>
      <c r="C25" s="3" t="str">
        <f t="shared" si="0"/>
        <v>{jsdata.corrections[22].type}-{jsdata.corrections[22].date}</v>
      </c>
      <c r="D25" s="3" t="s">
        <v>264</v>
      </c>
      <c r="E25" s="3" t="s">
        <v>265</v>
      </c>
    </row>
    <row r="26" spans="1:5" x14ac:dyDescent="0.35">
      <c r="A26" s="3" t="s">
        <v>421</v>
      </c>
      <c r="B26" s="3" t="s">
        <v>266</v>
      </c>
      <c r="C26" s="3" t="str">
        <f t="shared" si="0"/>
        <v>{jsdata.corrections[23].type}-{jsdata.corrections[23].date}</v>
      </c>
      <c r="D26" s="3" t="s">
        <v>267</v>
      </c>
      <c r="E26" s="3" t="s">
        <v>268</v>
      </c>
    </row>
    <row r="27" spans="1:5" x14ac:dyDescent="0.35">
      <c r="A27" s="3" t="s">
        <v>422</v>
      </c>
      <c r="B27" s="3" t="s">
        <v>269</v>
      </c>
      <c r="C27" s="3" t="str">
        <f t="shared" si="0"/>
        <v>{jsdata.corrections[24].type}-{jsdata.corrections[24].date}</v>
      </c>
      <c r="D27" s="3" t="s">
        <v>270</v>
      </c>
      <c r="E27" s="3" t="s">
        <v>271</v>
      </c>
    </row>
    <row r="28" spans="1:5" x14ac:dyDescent="0.35">
      <c r="A28" s="3" t="s">
        <v>423</v>
      </c>
      <c r="B28" s="3" t="s">
        <v>272</v>
      </c>
      <c r="C28" s="3" t="str">
        <f t="shared" si="0"/>
        <v>{jsdata.corrections[25].type}-{jsdata.corrections[25].date}</v>
      </c>
      <c r="D28" s="3" t="s">
        <v>273</v>
      </c>
      <c r="E28" s="3" t="s">
        <v>274</v>
      </c>
    </row>
    <row r="29" spans="1:5" x14ac:dyDescent="0.35">
      <c r="A29" s="3" t="s">
        <v>424</v>
      </c>
      <c r="B29" s="3" t="s">
        <v>275</v>
      </c>
      <c r="C29" s="3" t="str">
        <f t="shared" si="0"/>
        <v>{jsdata.corrections[26].type}-{jsdata.corrections[26].date}</v>
      </c>
      <c r="D29" s="3" t="s">
        <v>276</v>
      </c>
      <c r="E29" s="3" t="s">
        <v>277</v>
      </c>
    </row>
    <row r="30" spans="1:5" x14ac:dyDescent="0.35">
      <c r="A30" s="3" t="s">
        <v>425</v>
      </c>
      <c r="B30" s="3" t="s">
        <v>278</v>
      </c>
      <c r="C30" s="3" t="str">
        <f t="shared" si="0"/>
        <v>{jsdata.corrections[27].type}-{jsdata.corrections[27].date}</v>
      </c>
      <c r="D30" s="3" t="s">
        <v>279</v>
      </c>
      <c r="E30" s="3" t="s">
        <v>280</v>
      </c>
    </row>
    <row r="31" spans="1:5" x14ac:dyDescent="0.35">
      <c r="A31" s="3" t="s">
        <v>426</v>
      </c>
      <c r="B31" s="3" t="s">
        <v>281</v>
      </c>
      <c r="C31" s="3" t="str">
        <f t="shared" si="0"/>
        <v>{jsdata.corrections[28].type}-{jsdata.corrections[28].date}</v>
      </c>
      <c r="D31" s="3" t="s">
        <v>282</v>
      </c>
      <c r="E31" s="3" t="s">
        <v>283</v>
      </c>
    </row>
    <row r="32" spans="1:5" x14ac:dyDescent="0.35">
      <c r="A32" s="3" t="s">
        <v>427</v>
      </c>
      <c r="B32" s="3" t="s">
        <v>284</v>
      </c>
      <c r="C32" s="3" t="str">
        <f t="shared" si="0"/>
        <v>{jsdata.corrections[29].type}-{jsdata.corrections[29].date}</v>
      </c>
      <c r="D32" s="3" t="s">
        <v>285</v>
      </c>
      <c r="E32" s="3" t="s">
        <v>286</v>
      </c>
    </row>
    <row r="33" spans="1:5" x14ac:dyDescent="0.35">
      <c r="A33" s="3" t="s">
        <v>428</v>
      </c>
      <c r="B33" s="3" t="s">
        <v>287</v>
      </c>
      <c r="C33" s="3" t="str">
        <f t="shared" si="0"/>
        <v>{jsdata.corrections[30].type}-{jsdata.corrections[30].date}</v>
      </c>
      <c r="D33" s="3" t="s">
        <v>288</v>
      </c>
      <c r="E33" s="3" t="s">
        <v>289</v>
      </c>
    </row>
    <row r="34" spans="1:5" x14ac:dyDescent="0.35">
      <c r="A34" s="3" t="s">
        <v>429</v>
      </c>
      <c r="B34" s="3" t="s">
        <v>290</v>
      </c>
      <c r="C34" s="3" t="str">
        <f t="shared" si="0"/>
        <v>{jsdata.corrections[31].type}-{jsdata.corrections[31].date}</v>
      </c>
      <c r="D34" s="3" t="s">
        <v>291</v>
      </c>
      <c r="E34" s="3" t="s">
        <v>292</v>
      </c>
    </row>
    <row r="35" spans="1:5" x14ac:dyDescent="0.35">
      <c r="A35" s="3" t="s">
        <v>430</v>
      </c>
      <c r="B35" s="3" t="s">
        <v>293</v>
      </c>
      <c r="C35" s="3" t="str">
        <f t="shared" si="0"/>
        <v>{jsdata.corrections[32].type}-{jsdata.corrections[32].date}</v>
      </c>
      <c r="D35" s="3" t="s">
        <v>294</v>
      </c>
      <c r="E35" s="3" t="s">
        <v>295</v>
      </c>
    </row>
    <row r="36" spans="1:5" x14ac:dyDescent="0.35">
      <c r="A36" s="3" t="s">
        <v>431</v>
      </c>
      <c r="B36" s="3" t="s">
        <v>296</v>
      </c>
      <c r="C36" s="3" t="str">
        <f t="shared" si="0"/>
        <v>{jsdata.corrections[33].type}-{jsdata.corrections[33].date}</v>
      </c>
      <c r="D36" s="3" t="s">
        <v>297</v>
      </c>
      <c r="E36" s="3" t="s">
        <v>298</v>
      </c>
    </row>
    <row r="37" spans="1:5" x14ac:dyDescent="0.35">
      <c r="A37" s="3" t="s">
        <v>432</v>
      </c>
      <c r="B37" s="3" t="s">
        <v>299</v>
      </c>
      <c r="C37" s="3" t="str">
        <f t="shared" si="0"/>
        <v>{jsdata.corrections[34].type}-{jsdata.corrections[34].date}</v>
      </c>
      <c r="D37" s="3" t="s">
        <v>300</v>
      </c>
      <c r="E37" s="3" t="s">
        <v>301</v>
      </c>
    </row>
    <row r="38" spans="1:5" x14ac:dyDescent="0.35">
      <c r="A38" s="3" t="s">
        <v>433</v>
      </c>
      <c r="B38" s="3" t="s">
        <v>302</v>
      </c>
      <c r="C38" s="3" t="str">
        <f t="shared" si="0"/>
        <v>{jsdata.corrections[35].type}-{jsdata.corrections[35].date}</v>
      </c>
      <c r="D38" s="3" t="s">
        <v>303</v>
      </c>
      <c r="E38" s="3" t="s">
        <v>304</v>
      </c>
    </row>
    <row r="39" spans="1:5" x14ac:dyDescent="0.35">
      <c r="A39" s="3" t="s">
        <v>434</v>
      </c>
      <c r="B39" s="3" t="s">
        <v>305</v>
      </c>
      <c r="C39" s="3" t="str">
        <f t="shared" si="0"/>
        <v>{jsdata.corrections[36].type}-{jsdata.corrections[36].date}</v>
      </c>
      <c r="D39" s="3" t="s">
        <v>306</v>
      </c>
      <c r="E39" s="3" t="s">
        <v>307</v>
      </c>
    </row>
    <row r="40" spans="1:5" x14ac:dyDescent="0.35">
      <c r="A40" s="3" t="s">
        <v>435</v>
      </c>
      <c r="B40" s="3" t="s">
        <v>308</v>
      </c>
      <c r="C40" s="3" t="str">
        <f t="shared" si="0"/>
        <v>{jsdata.corrections[37].type}-{jsdata.corrections[37].date}</v>
      </c>
      <c r="D40" s="3" t="s">
        <v>309</v>
      </c>
      <c r="E40" s="3" t="s">
        <v>310</v>
      </c>
    </row>
    <row r="41" spans="1:5" x14ac:dyDescent="0.35">
      <c r="A41" s="3" t="s">
        <v>436</v>
      </c>
      <c r="B41" s="3" t="s">
        <v>311</v>
      </c>
      <c r="C41" s="3" t="str">
        <f t="shared" si="0"/>
        <v>{jsdata.corrections[38].type}-{jsdata.corrections[38].date}</v>
      </c>
      <c r="D41" s="3" t="s">
        <v>312</v>
      </c>
      <c r="E41" s="3" t="s">
        <v>313</v>
      </c>
    </row>
    <row r="42" spans="1:5" x14ac:dyDescent="0.35">
      <c r="A42" s="3" t="s">
        <v>437</v>
      </c>
      <c r="B42" s="3" t="s">
        <v>314</v>
      </c>
      <c r="C42" s="3" t="str">
        <f t="shared" si="0"/>
        <v>{jsdata.corrections[39].type}-{jsdata.corrections[39].date}</v>
      </c>
      <c r="D42" s="3" t="s">
        <v>315</v>
      </c>
      <c r="E42" s="3" t="s">
        <v>316</v>
      </c>
    </row>
    <row r="43" spans="1:5" x14ac:dyDescent="0.35">
      <c r="A43" s="3" t="s">
        <v>438</v>
      </c>
      <c r="B43" s="3" t="s">
        <v>317</v>
      </c>
      <c r="C43" s="3" t="str">
        <f t="shared" si="0"/>
        <v>{jsdata.corrections[40].type}-{jsdata.corrections[40].date}</v>
      </c>
      <c r="D43" s="3" t="s">
        <v>318</v>
      </c>
      <c r="E43" s="3" t="s">
        <v>319</v>
      </c>
    </row>
    <row r="44" spans="1:5" x14ac:dyDescent="0.35">
      <c r="A44" s="3" t="s">
        <v>439</v>
      </c>
      <c r="B44" s="3" t="s">
        <v>320</v>
      </c>
      <c r="C44" s="3" t="str">
        <f t="shared" si="0"/>
        <v>{jsdata.corrections[41].type}-{jsdata.corrections[41].date}</v>
      </c>
      <c r="D44" s="3" t="s">
        <v>321</v>
      </c>
      <c r="E44" s="3" t="s">
        <v>322</v>
      </c>
    </row>
    <row r="45" spans="1:5" x14ac:dyDescent="0.35">
      <c r="A45" s="3" t="s">
        <v>440</v>
      </c>
      <c r="B45" s="3" t="s">
        <v>323</v>
      </c>
      <c r="C45" s="3" t="str">
        <f t="shared" si="0"/>
        <v>{jsdata.corrections[42].type}-{jsdata.corrections[42].date}</v>
      </c>
      <c r="D45" s="3" t="s">
        <v>324</v>
      </c>
      <c r="E45" s="3" t="s">
        <v>325</v>
      </c>
    </row>
    <row r="46" spans="1:5" x14ac:dyDescent="0.35">
      <c r="A46" s="3" t="s">
        <v>441</v>
      </c>
      <c r="B46" s="3" t="s">
        <v>326</v>
      </c>
      <c r="C46" s="3" t="str">
        <f t="shared" si="0"/>
        <v>{jsdata.corrections[43].type}-{jsdata.corrections[43].date}</v>
      </c>
      <c r="D46" s="3" t="s">
        <v>327</v>
      </c>
      <c r="E46" s="3" t="s">
        <v>328</v>
      </c>
    </row>
    <row r="47" spans="1:5" x14ac:dyDescent="0.35">
      <c r="A47" s="3" t="s">
        <v>442</v>
      </c>
      <c r="B47" s="3" t="s">
        <v>329</v>
      </c>
      <c r="C47" s="3" t="str">
        <f t="shared" si="0"/>
        <v>{jsdata.corrections[44].type}-{jsdata.corrections[44].date}</v>
      </c>
      <c r="D47" s="3" t="s">
        <v>330</v>
      </c>
      <c r="E47" s="3" t="s">
        <v>331</v>
      </c>
    </row>
    <row r="48" spans="1:5" x14ac:dyDescent="0.35">
      <c r="A48" s="3" t="s">
        <v>443</v>
      </c>
      <c r="B48" s="3" t="s">
        <v>332</v>
      </c>
      <c r="C48" s="3" t="str">
        <f t="shared" si="0"/>
        <v>{jsdata.corrections[45].type}-{jsdata.corrections[45].date}</v>
      </c>
      <c r="D48" s="3" t="s">
        <v>333</v>
      </c>
      <c r="E48" s="3" t="s">
        <v>334</v>
      </c>
    </row>
    <row r="49" spans="1:5" x14ac:dyDescent="0.35">
      <c r="A49" s="3" t="s">
        <v>444</v>
      </c>
      <c r="B49" s="3" t="s">
        <v>335</v>
      </c>
      <c r="C49" s="3" t="str">
        <f t="shared" si="0"/>
        <v>{jsdata.corrections[46].type}-{jsdata.corrections[46].date}</v>
      </c>
      <c r="D49" s="3" t="s">
        <v>336</v>
      </c>
      <c r="E49" s="3" t="s">
        <v>337</v>
      </c>
    </row>
    <row r="50" spans="1:5" x14ac:dyDescent="0.35">
      <c r="A50" s="3" t="s">
        <v>445</v>
      </c>
      <c r="B50" s="3" t="s">
        <v>338</v>
      </c>
      <c r="C50" s="3" t="str">
        <f t="shared" si="0"/>
        <v>{jsdata.corrections[47].type}-{jsdata.corrections[47].date}</v>
      </c>
      <c r="D50" s="3" t="s">
        <v>339</v>
      </c>
      <c r="E50" s="3" t="s">
        <v>340</v>
      </c>
    </row>
    <row r="51" spans="1:5" x14ac:dyDescent="0.35">
      <c r="A51" s="3" t="s">
        <v>446</v>
      </c>
      <c r="B51" s="3" t="s">
        <v>341</v>
      </c>
      <c r="C51" s="3" t="str">
        <f t="shared" si="0"/>
        <v>{jsdata.corrections[48].type}-{jsdata.corrections[48].date}</v>
      </c>
      <c r="D51" s="3" t="s">
        <v>342</v>
      </c>
      <c r="E51" s="3" t="s">
        <v>343</v>
      </c>
    </row>
    <row r="52" spans="1:5" x14ac:dyDescent="0.35">
      <c r="A52" s="3" t="s">
        <v>447</v>
      </c>
      <c r="B52" s="3" t="s">
        <v>344</v>
      </c>
      <c r="C52" s="3" t="str">
        <f t="shared" si="0"/>
        <v>{jsdata.corrections[49].type}-{jsdata.corrections[49].date}</v>
      </c>
      <c r="D52" s="3" t="s">
        <v>345</v>
      </c>
      <c r="E52" s="3" t="s">
        <v>346</v>
      </c>
    </row>
    <row r="53" spans="1:5" x14ac:dyDescent="0.35">
      <c r="A53" s="3" t="s">
        <v>448</v>
      </c>
      <c r="B53" s="3" t="s">
        <v>347</v>
      </c>
      <c r="C53" s="3" t="str">
        <f t="shared" si="0"/>
        <v>{jsdata.corrections[50].type}-{jsdata.corrections[50].date}</v>
      </c>
      <c r="D53" s="3" t="s">
        <v>348</v>
      </c>
      <c r="E53" s="3" t="s">
        <v>349</v>
      </c>
    </row>
    <row r="54" spans="1:5" x14ac:dyDescent="0.35">
      <c r="A54" s="3" t="s">
        <v>449</v>
      </c>
      <c r="B54" s="3" t="s">
        <v>350</v>
      </c>
      <c r="C54" s="3" t="str">
        <f t="shared" si="0"/>
        <v>{jsdata.corrections[51].type}-{jsdata.corrections[51].date}</v>
      </c>
      <c r="D54" s="3" t="s">
        <v>351</v>
      </c>
      <c r="E54" s="3" t="s">
        <v>352</v>
      </c>
    </row>
    <row r="55" spans="1:5" x14ac:dyDescent="0.35">
      <c r="A55" s="3" t="s">
        <v>450</v>
      </c>
      <c r="B55" s="3" t="s">
        <v>353</v>
      </c>
      <c r="C55" s="3" t="str">
        <f t="shared" si="0"/>
        <v>{jsdata.corrections[52].type}-{jsdata.corrections[52].date}</v>
      </c>
      <c r="D55" s="3" t="s">
        <v>354</v>
      </c>
      <c r="E55" s="3" t="s">
        <v>355</v>
      </c>
    </row>
    <row r="56" spans="1:5" x14ac:dyDescent="0.35">
      <c r="A56" s="3" t="s">
        <v>451</v>
      </c>
      <c r="B56" s="3" t="s">
        <v>356</v>
      </c>
      <c r="C56" s="3" t="str">
        <f t="shared" si="0"/>
        <v>{jsdata.corrections[53].type}-{jsdata.corrections[53].date}</v>
      </c>
      <c r="D56" s="3" t="s">
        <v>357</v>
      </c>
      <c r="E56" s="3" t="s">
        <v>358</v>
      </c>
    </row>
    <row r="57" spans="1:5" x14ac:dyDescent="0.35">
      <c r="A57" s="3" t="s">
        <v>452</v>
      </c>
      <c r="B57" s="3" t="s">
        <v>359</v>
      </c>
      <c r="C57" s="3" t="str">
        <f t="shared" si="0"/>
        <v>{jsdata.corrections[54].type}-{jsdata.corrections[54].date}</v>
      </c>
      <c r="D57" s="3" t="s">
        <v>360</v>
      </c>
      <c r="E57" s="3" t="s">
        <v>361</v>
      </c>
    </row>
    <row r="58" spans="1:5" x14ac:dyDescent="0.35">
      <c r="A58" s="3" t="s">
        <v>453</v>
      </c>
      <c r="B58" s="3" t="s">
        <v>362</v>
      </c>
      <c r="C58" s="3" t="str">
        <f t="shared" si="0"/>
        <v>{jsdata.corrections[55].type}-{jsdata.corrections[55].date}</v>
      </c>
      <c r="D58" s="3" t="s">
        <v>363</v>
      </c>
      <c r="E58" s="3" t="s">
        <v>364</v>
      </c>
    </row>
    <row r="59" spans="1:5" x14ac:dyDescent="0.35">
      <c r="A59" s="3" t="s">
        <v>454</v>
      </c>
      <c r="B59" s="3" t="s">
        <v>365</v>
      </c>
      <c r="C59" s="3" t="str">
        <f t="shared" si="0"/>
        <v>{jsdata.corrections[56].type}-{jsdata.corrections[56].date}</v>
      </c>
      <c r="D59" s="3" t="s">
        <v>366</v>
      </c>
      <c r="E59" s="3" t="s">
        <v>367</v>
      </c>
    </row>
    <row r="60" spans="1:5" x14ac:dyDescent="0.35">
      <c r="A60" s="3" t="s">
        <v>455</v>
      </c>
      <c r="B60" s="3" t="s">
        <v>368</v>
      </c>
      <c r="C60" s="3" t="str">
        <f t="shared" si="0"/>
        <v>{jsdata.corrections[57].type}-{jsdata.corrections[57].date}</v>
      </c>
      <c r="D60" s="3" t="s">
        <v>369</v>
      </c>
      <c r="E60" s="3" t="s">
        <v>370</v>
      </c>
    </row>
    <row r="61" spans="1:5" x14ac:dyDescent="0.35">
      <c r="A61" s="3" t="s">
        <v>456</v>
      </c>
      <c r="B61" s="3" t="s">
        <v>371</v>
      </c>
      <c r="C61" s="3" t="str">
        <f t="shared" si="0"/>
        <v>{jsdata.corrections[58].type}-{jsdata.corrections[58].date}</v>
      </c>
      <c r="D61" s="3" t="s">
        <v>372</v>
      </c>
      <c r="E61" s="3" t="s">
        <v>373</v>
      </c>
    </row>
    <row r="62" spans="1:5" x14ac:dyDescent="0.35">
      <c r="A62" s="3" t="s">
        <v>457</v>
      </c>
      <c r="B62" s="3" t="s">
        <v>374</v>
      </c>
      <c r="C62" s="3" t="str">
        <f t="shared" si="0"/>
        <v>{jsdata.corrections[59].type}-{jsdata.corrections[59].date}</v>
      </c>
      <c r="D62" s="3" t="s">
        <v>375</v>
      </c>
      <c r="E62" s="3" t="s">
        <v>376</v>
      </c>
    </row>
    <row r="63" spans="1:5" x14ac:dyDescent="0.35">
      <c r="A63" s="3" t="s">
        <v>458</v>
      </c>
      <c r="B63" s="3" t="s">
        <v>377</v>
      </c>
      <c r="C63" s="3" t="str">
        <f t="shared" si="0"/>
        <v>{jsdata.corrections[60].type}-{jsdata.corrections[60].date}</v>
      </c>
      <c r="D63" s="3" t="s">
        <v>378</v>
      </c>
      <c r="E63" s="3" t="s">
        <v>379</v>
      </c>
    </row>
    <row r="64" spans="1:5" x14ac:dyDescent="0.35">
      <c r="A64" s="3" t="s">
        <v>459</v>
      </c>
      <c r="B64" s="3" t="s">
        <v>380</v>
      </c>
      <c r="C64" s="3" t="str">
        <f t="shared" si="0"/>
        <v>{jsdata.corrections[61].type}-{jsdata.corrections[61].date}</v>
      </c>
      <c r="D64" s="3" t="s">
        <v>381</v>
      </c>
      <c r="E64" s="3" t="s">
        <v>382</v>
      </c>
    </row>
    <row r="65" spans="1:5" x14ac:dyDescent="0.35">
      <c r="A65" s="3" t="s">
        <v>460</v>
      </c>
      <c r="B65" s="3" t="s">
        <v>383</v>
      </c>
      <c r="C65" s="3" t="str">
        <f t="shared" si="0"/>
        <v>{jsdata.corrections[62].type}-{jsdata.corrections[62].date}</v>
      </c>
      <c r="D65" s="3" t="s">
        <v>384</v>
      </c>
      <c r="E65" s="3" t="s">
        <v>385</v>
      </c>
    </row>
    <row r="66" spans="1:5" x14ac:dyDescent="0.35">
      <c r="A66" s="3" t="s">
        <v>461</v>
      </c>
      <c r="B66" s="3" t="s">
        <v>386</v>
      </c>
      <c r="C66" s="3" t="str">
        <f t="shared" si="0"/>
        <v>{jsdata.corrections[63].type}-{jsdata.corrections[63].date}</v>
      </c>
      <c r="D66" s="3" t="s">
        <v>387</v>
      </c>
      <c r="E66" s="3" t="s">
        <v>388</v>
      </c>
    </row>
    <row r="67" spans="1:5" x14ac:dyDescent="0.35">
      <c r="A67" s="3" t="s">
        <v>462</v>
      </c>
      <c r="B67" s="3" t="s">
        <v>389</v>
      </c>
      <c r="C67" s="3" t="str">
        <f t="shared" si="0"/>
        <v>{jsdata.corrections[64].type}-{jsdata.corrections[64].date}</v>
      </c>
      <c r="D67" s="3" t="s">
        <v>390</v>
      </c>
      <c r="E67" s="3" t="s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31F4-DEFF-4983-B1DA-8BB83E36715D}">
  <dimension ref="A1:F1283"/>
  <sheetViews>
    <sheetView workbookViewId="0">
      <selection sqref="A1:AD2"/>
    </sheetView>
  </sheetViews>
  <sheetFormatPr defaultRowHeight="14.5" x14ac:dyDescent="0.35"/>
  <cols>
    <col min="1" max="6" width="17.453125" customWidth="1"/>
  </cols>
  <sheetData>
    <row r="1" spans="1:6" x14ac:dyDescent="0.35">
      <c r="A1" s="2" t="s">
        <v>471</v>
      </c>
      <c r="B1" s="1"/>
      <c r="C1" s="1"/>
      <c r="D1" s="1"/>
      <c r="E1" s="1"/>
      <c r="F1" s="1"/>
    </row>
    <row r="2" spans="1:6" x14ac:dyDescent="0.35">
      <c r="A2" s="1" t="s">
        <v>195</v>
      </c>
      <c r="B2" s="1" t="s">
        <v>472</v>
      </c>
      <c r="C2" s="1" t="s">
        <v>473</v>
      </c>
      <c r="D2" s="1" t="s">
        <v>474</v>
      </c>
      <c r="E2" s="1" t="s">
        <v>475</v>
      </c>
      <c r="F2" s="1" t="s">
        <v>476</v>
      </c>
    </row>
    <row r="3" spans="1:6" x14ac:dyDescent="0.35">
      <c r="A3" s="5">
        <f ca="1">DATE(IF(ISNUMBER(Resource!$G$7),Resource!$G$7,YEAR(TODAY()))-2,1,1)</f>
        <v>44562</v>
      </c>
      <c r="B3" s="3" t="s">
        <v>477</v>
      </c>
      <c r="C3" s="3" t="s">
        <v>478</v>
      </c>
      <c r="D3" s="3" t="s">
        <v>479</v>
      </c>
      <c r="E3" s="3" t="s">
        <v>5976</v>
      </c>
      <c r="F3" s="3" t="s">
        <v>5977</v>
      </c>
    </row>
    <row r="4" spans="1:6" x14ac:dyDescent="0.35">
      <c r="A4" s="5">
        <f ca="1">A3+1</f>
        <v>44563</v>
      </c>
      <c r="B4" s="3" t="s">
        <v>480</v>
      </c>
      <c r="C4" s="3" t="s">
        <v>481</v>
      </c>
      <c r="D4" s="3" t="s">
        <v>482</v>
      </c>
      <c r="E4" s="3" t="s">
        <v>5978</v>
      </c>
      <c r="F4" s="3" t="s">
        <v>5979</v>
      </c>
    </row>
    <row r="5" spans="1:6" x14ac:dyDescent="0.35">
      <c r="A5" s="5">
        <f t="shared" ref="A5:A68" ca="1" si="0">A4+1</f>
        <v>44564</v>
      </c>
      <c r="B5" s="3" t="s">
        <v>483</v>
      </c>
      <c r="C5" s="3" t="s">
        <v>484</v>
      </c>
      <c r="D5" s="3" t="s">
        <v>485</v>
      </c>
      <c r="E5" s="3" t="s">
        <v>5980</v>
      </c>
      <c r="F5" s="3" t="s">
        <v>5981</v>
      </c>
    </row>
    <row r="6" spans="1:6" x14ac:dyDescent="0.35">
      <c r="A6" s="5">
        <f t="shared" ca="1" si="0"/>
        <v>44565</v>
      </c>
      <c r="B6" s="3" t="s">
        <v>486</v>
      </c>
      <c r="C6" s="3" t="s">
        <v>487</v>
      </c>
      <c r="D6" s="3" t="s">
        <v>488</v>
      </c>
      <c r="E6" s="3" t="s">
        <v>5982</v>
      </c>
      <c r="F6" s="3" t="s">
        <v>5983</v>
      </c>
    </row>
    <row r="7" spans="1:6" x14ac:dyDescent="0.35">
      <c r="A7" s="5">
        <f t="shared" ca="1" si="0"/>
        <v>44566</v>
      </c>
      <c r="B7" s="3" t="s">
        <v>489</v>
      </c>
      <c r="C7" s="3" t="s">
        <v>490</v>
      </c>
      <c r="D7" s="3" t="s">
        <v>491</v>
      </c>
      <c r="E7" s="3" t="s">
        <v>5984</v>
      </c>
      <c r="F7" s="3" t="s">
        <v>5985</v>
      </c>
    </row>
    <row r="8" spans="1:6" x14ac:dyDescent="0.35">
      <c r="A8" s="5">
        <f t="shared" ca="1" si="0"/>
        <v>44567</v>
      </c>
      <c r="B8" s="3" t="s">
        <v>492</v>
      </c>
      <c r="C8" s="3" t="s">
        <v>493</v>
      </c>
      <c r="D8" s="3" t="s">
        <v>494</v>
      </c>
      <c r="E8" s="3" t="s">
        <v>5986</v>
      </c>
      <c r="F8" s="3" t="s">
        <v>5987</v>
      </c>
    </row>
    <row r="9" spans="1:6" x14ac:dyDescent="0.35">
      <c r="A9" s="5">
        <f t="shared" ca="1" si="0"/>
        <v>44568</v>
      </c>
      <c r="B9" s="3" t="s">
        <v>495</v>
      </c>
      <c r="C9" s="3" t="s">
        <v>496</v>
      </c>
      <c r="D9" s="3" t="s">
        <v>497</v>
      </c>
      <c r="E9" s="3" t="s">
        <v>5988</v>
      </c>
      <c r="F9" s="3" t="s">
        <v>5989</v>
      </c>
    </row>
    <row r="10" spans="1:6" x14ac:dyDescent="0.35">
      <c r="A10" s="5">
        <f t="shared" ca="1" si="0"/>
        <v>44569</v>
      </c>
      <c r="B10" s="3" t="s">
        <v>498</v>
      </c>
      <c r="C10" s="3" t="s">
        <v>499</v>
      </c>
      <c r="D10" s="3" t="s">
        <v>500</v>
      </c>
      <c r="E10" s="3" t="s">
        <v>5990</v>
      </c>
      <c r="F10" s="3" t="s">
        <v>5991</v>
      </c>
    </row>
    <row r="11" spans="1:6" x14ac:dyDescent="0.35">
      <c r="A11" s="5">
        <f t="shared" ca="1" si="0"/>
        <v>44570</v>
      </c>
      <c r="B11" s="3" t="s">
        <v>501</v>
      </c>
      <c r="C11" s="3" t="s">
        <v>502</v>
      </c>
      <c r="D11" s="3" t="s">
        <v>503</v>
      </c>
      <c r="E11" s="3" t="s">
        <v>5992</v>
      </c>
      <c r="F11" s="3" t="s">
        <v>5993</v>
      </c>
    </row>
    <row r="12" spans="1:6" x14ac:dyDescent="0.35">
      <c r="A12" s="5">
        <f t="shared" ca="1" si="0"/>
        <v>44571</v>
      </c>
      <c r="B12" s="3" t="s">
        <v>504</v>
      </c>
      <c r="C12" s="3" t="s">
        <v>505</v>
      </c>
      <c r="D12" s="3" t="s">
        <v>506</v>
      </c>
      <c r="E12" s="3" t="s">
        <v>5994</v>
      </c>
      <c r="F12" s="3" t="s">
        <v>5995</v>
      </c>
    </row>
    <row r="13" spans="1:6" x14ac:dyDescent="0.35">
      <c r="A13" s="5">
        <f t="shared" ca="1" si="0"/>
        <v>44572</v>
      </c>
      <c r="B13" s="3" t="s">
        <v>507</v>
      </c>
      <c r="C13" s="3" t="s">
        <v>508</v>
      </c>
      <c r="D13" s="3" t="s">
        <v>509</v>
      </c>
      <c r="E13" s="3" t="s">
        <v>5996</v>
      </c>
      <c r="F13" s="3" t="s">
        <v>5997</v>
      </c>
    </row>
    <row r="14" spans="1:6" x14ac:dyDescent="0.35">
      <c r="A14" s="5">
        <f t="shared" ca="1" si="0"/>
        <v>44573</v>
      </c>
      <c r="B14" s="3" t="s">
        <v>510</v>
      </c>
      <c r="C14" s="3" t="s">
        <v>511</v>
      </c>
      <c r="D14" s="3" t="s">
        <v>512</v>
      </c>
      <c r="E14" s="3" t="s">
        <v>5998</v>
      </c>
      <c r="F14" s="3" t="s">
        <v>5999</v>
      </c>
    </row>
    <row r="15" spans="1:6" x14ac:dyDescent="0.35">
      <c r="A15" s="5">
        <f t="shared" ca="1" si="0"/>
        <v>44574</v>
      </c>
      <c r="B15" s="3" t="s">
        <v>513</v>
      </c>
      <c r="C15" s="3" t="s">
        <v>514</v>
      </c>
      <c r="D15" s="3" t="s">
        <v>515</v>
      </c>
      <c r="E15" s="3" t="s">
        <v>6000</v>
      </c>
      <c r="F15" s="3" t="s">
        <v>6001</v>
      </c>
    </row>
    <row r="16" spans="1:6" x14ac:dyDescent="0.35">
      <c r="A16" s="5">
        <f t="shared" ca="1" si="0"/>
        <v>44575</v>
      </c>
      <c r="B16" s="3" t="s">
        <v>516</v>
      </c>
      <c r="C16" s="3" t="s">
        <v>517</v>
      </c>
      <c r="D16" s="3" t="s">
        <v>518</v>
      </c>
      <c r="E16" s="3" t="s">
        <v>6002</v>
      </c>
      <c r="F16" s="3" t="s">
        <v>6003</v>
      </c>
    </row>
    <row r="17" spans="1:6" x14ac:dyDescent="0.35">
      <c r="A17" s="5">
        <f t="shared" ca="1" si="0"/>
        <v>44576</v>
      </c>
      <c r="B17" s="3" t="s">
        <v>519</v>
      </c>
      <c r="C17" s="3" t="s">
        <v>520</v>
      </c>
      <c r="D17" s="3" t="s">
        <v>521</v>
      </c>
      <c r="E17" s="3" t="s">
        <v>6004</v>
      </c>
      <c r="F17" s="3" t="s">
        <v>6005</v>
      </c>
    </row>
    <row r="18" spans="1:6" x14ac:dyDescent="0.35">
      <c r="A18" s="5">
        <f t="shared" ca="1" si="0"/>
        <v>44577</v>
      </c>
      <c r="B18" s="3" t="s">
        <v>522</v>
      </c>
      <c r="C18" s="3" t="s">
        <v>523</v>
      </c>
      <c r="D18" s="3" t="s">
        <v>524</v>
      </c>
      <c r="E18" s="3" t="s">
        <v>6006</v>
      </c>
      <c r="F18" s="3" t="s">
        <v>6007</v>
      </c>
    </row>
    <row r="19" spans="1:6" x14ac:dyDescent="0.35">
      <c r="A19" s="5">
        <f t="shared" ca="1" si="0"/>
        <v>44578</v>
      </c>
      <c r="B19" s="3" t="s">
        <v>525</v>
      </c>
      <c r="C19" s="3" t="s">
        <v>526</v>
      </c>
      <c r="D19" s="3" t="s">
        <v>527</v>
      </c>
      <c r="E19" s="3" t="s">
        <v>6008</v>
      </c>
      <c r="F19" s="3" t="s">
        <v>6009</v>
      </c>
    </row>
    <row r="20" spans="1:6" x14ac:dyDescent="0.35">
      <c r="A20" s="5">
        <f t="shared" ca="1" si="0"/>
        <v>44579</v>
      </c>
      <c r="B20" s="3" t="s">
        <v>528</v>
      </c>
      <c r="C20" s="3" t="s">
        <v>529</v>
      </c>
      <c r="D20" s="3" t="s">
        <v>530</v>
      </c>
      <c r="E20" s="3" t="s">
        <v>6010</v>
      </c>
      <c r="F20" s="3" t="s">
        <v>6011</v>
      </c>
    </row>
    <row r="21" spans="1:6" x14ac:dyDescent="0.35">
      <c r="A21" s="5">
        <f t="shared" ca="1" si="0"/>
        <v>44580</v>
      </c>
      <c r="B21" s="3" t="s">
        <v>531</v>
      </c>
      <c r="C21" s="3" t="s">
        <v>532</v>
      </c>
      <c r="D21" s="3" t="s">
        <v>533</v>
      </c>
      <c r="E21" s="3" t="s">
        <v>6012</v>
      </c>
      <c r="F21" s="3" t="s">
        <v>6013</v>
      </c>
    </row>
    <row r="22" spans="1:6" x14ac:dyDescent="0.35">
      <c r="A22" s="5">
        <f t="shared" ca="1" si="0"/>
        <v>44581</v>
      </c>
      <c r="B22" s="3" t="s">
        <v>534</v>
      </c>
      <c r="C22" s="3" t="s">
        <v>535</v>
      </c>
      <c r="D22" s="3" t="s">
        <v>536</v>
      </c>
      <c r="E22" s="3" t="s">
        <v>6014</v>
      </c>
      <c r="F22" s="3" t="s">
        <v>6015</v>
      </c>
    </row>
    <row r="23" spans="1:6" x14ac:dyDescent="0.35">
      <c r="A23" s="5">
        <f t="shared" ca="1" si="0"/>
        <v>44582</v>
      </c>
      <c r="B23" s="3" t="s">
        <v>537</v>
      </c>
      <c r="C23" s="3" t="s">
        <v>538</v>
      </c>
      <c r="D23" s="3" t="s">
        <v>539</v>
      </c>
      <c r="E23" s="3" t="s">
        <v>6016</v>
      </c>
      <c r="F23" s="3" t="s">
        <v>6017</v>
      </c>
    </row>
    <row r="24" spans="1:6" x14ac:dyDescent="0.35">
      <c r="A24" s="5">
        <f t="shared" ca="1" si="0"/>
        <v>44583</v>
      </c>
      <c r="B24" s="3" t="s">
        <v>540</v>
      </c>
      <c r="C24" s="3" t="s">
        <v>541</v>
      </c>
      <c r="D24" s="3" t="s">
        <v>542</v>
      </c>
      <c r="E24" s="3" t="s">
        <v>6018</v>
      </c>
      <c r="F24" s="3" t="s">
        <v>6019</v>
      </c>
    </row>
    <row r="25" spans="1:6" x14ac:dyDescent="0.35">
      <c r="A25" s="5">
        <f t="shared" ca="1" si="0"/>
        <v>44584</v>
      </c>
      <c r="B25" s="3" t="s">
        <v>543</v>
      </c>
      <c r="C25" s="3" t="s">
        <v>544</v>
      </c>
      <c r="D25" s="3" t="s">
        <v>545</v>
      </c>
      <c r="E25" s="3" t="s">
        <v>6020</v>
      </c>
      <c r="F25" s="3" t="s">
        <v>6021</v>
      </c>
    </row>
    <row r="26" spans="1:6" x14ac:dyDescent="0.35">
      <c r="A26" s="5">
        <f t="shared" ca="1" si="0"/>
        <v>44585</v>
      </c>
      <c r="B26" s="3" t="s">
        <v>546</v>
      </c>
      <c r="C26" s="3" t="s">
        <v>547</v>
      </c>
      <c r="D26" s="3" t="s">
        <v>548</v>
      </c>
      <c r="E26" s="3" t="s">
        <v>6022</v>
      </c>
      <c r="F26" s="3" t="s">
        <v>6023</v>
      </c>
    </row>
    <row r="27" spans="1:6" x14ac:dyDescent="0.35">
      <c r="A27" s="5">
        <f t="shared" ca="1" si="0"/>
        <v>44586</v>
      </c>
      <c r="B27" s="3" t="s">
        <v>549</v>
      </c>
      <c r="C27" s="3" t="s">
        <v>550</v>
      </c>
      <c r="D27" s="3" t="s">
        <v>551</v>
      </c>
      <c r="E27" s="3" t="s">
        <v>6024</v>
      </c>
      <c r="F27" s="3" t="s">
        <v>6025</v>
      </c>
    </row>
    <row r="28" spans="1:6" x14ac:dyDescent="0.35">
      <c r="A28" s="5">
        <f t="shared" ca="1" si="0"/>
        <v>44587</v>
      </c>
      <c r="B28" s="3" t="s">
        <v>552</v>
      </c>
      <c r="C28" s="3" t="s">
        <v>553</v>
      </c>
      <c r="D28" s="3" t="s">
        <v>554</v>
      </c>
      <c r="E28" s="3" t="s">
        <v>6026</v>
      </c>
      <c r="F28" s="3" t="s">
        <v>6027</v>
      </c>
    </row>
    <row r="29" spans="1:6" x14ac:dyDescent="0.35">
      <c r="A29" s="5">
        <f t="shared" ca="1" si="0"/>
        <v>44588</v>
      </c>
      <c r="B29" s="3" t="s">
        <v>555</v>
      </c>
      <c r="C29" s="3" t="s">
        <v>556</v>
      </c>
      <c r="D29" s="3" t="s">
        <v>557</v>
      </c>
      <c r="E29" s="3" t="s">
        <v>6028</v>
      </c>
      <c r="F29" s="3" t="s">
        <v>6029</v>
      </c>
    </row>
    <row r="30" spans="1:6" x14ac:dyDescent="0.35">
      <c r="A30" s="5">
        <f t="shared" ca="1" si="0"/>
        <v>44589</v>
      </c>
      <c r="B30" s="3" t="s">
        <v>558</v>
      </c>
      <c r="C30" s="3" t="s">
        <v>559</v>
      </c>
      <c r="D30" s="3" t="s">
        <v>560</v>
      </c>
      <c r="E30" s="3" t="s">
        <v>6030</v>
      </c>
      <c r="F30" s="3" t="s">
        <v>6031</v>
      </c>
    </row>
    <row r="31" spans="1:6" x14ac:dyDescent="0.35">
      <c r="A31" s="5">
        <f t="shared" ca="1" si="0"/>
        <v>44590</v>
      </c>
      <c r="B31" s="3" t="s">
        <v>561</v>
      </c>
      <c r="C31" s="3" t="s">
        <v>562</v>
      </c>
      <c r="D31" s="3" t="s">
        <v>563</v>
      </c>
      <c r="E31" s="3" t="s">
        <v>6032</v>
      </c>
      <c r="F31" s="3" t="s">
        <v>6033</v>
      </c>
    </row>
    <row r="32" spans="1:6" x14ac:dyDescent="0.35">
      <c r="A32" s="5">
        <f t="shared" ca="1" si="0"/>
        <v>44591</v>
      </c>
      <c r="B32" s="3" t="s">
        <v>564</v>
      </c>
      <c r="C32" s="3" t="s">
        <v>565</v>
      </c>
      <c r="D32" s="3" t="s">
        <v>566</v>
      </c>
      <c r="E32" s="3" t="s">
        <v>6034</v>
      </c>
      <c r="F32" s="3" t="s">
        <v>6035</v>
      </c>
    </row>
    <row r="33" spans="1:6" x14ac:dyDescent="0.35">
      <c r="A33" s="5">
        <f t="shared" ca="1" si="0"/>
        <v>44592</v>
      </c>
      <c r="B33" s="3" t="s">
        <v>567</v>
      </c>
      <c r="C33" s="3" t="s">
        <v>568</v>
      </c>
      <c r="D33" s="3" t="s">
        <v>569</v>
      </c>
      <c r="E33" s="3" t="s">
        <v>6036</v>
      </c>
      <c r="F33" s="3" t="s">
        <v>6037</v>
      </c>
    </row>
    <row r="34" spans="1:6" x14ac:dyDescent="0.35">
      <c r="A34" s="5">
        <f t="shared" ca="1" si="0"/>
        <v>44593</v>
      </c>
      <c r="B34" s="3" t="s">
        <v>570</v>
      </c>
      <c r="C34" s="3" t="s">
        <v>571</v>
      </c>
      <c r="D34" s="3" t="s">
        <v>572</v>
      </c>
      <c r="E34" s="3" t="s">
        <v>6038</v>
      </c>
      <c r="F34" s="3" t="s">
        <v>6039</v>
      </c>
    </row>
    <row r="35" spans="1:6" x14ac:dyDescent="0.35">
      <c r="A35" s="5">
        <f t="shared" ca="1" si="0"/>
        <v>44594</v>
      </c>
      <c r="B35" s="3" t="s">
        <v>573</v>
      </c>
      <c r="C35" s="3" t="s">
        <v>574</v>
      </c>
      <c r="D35" s="3" t="s">
        <v>575</v>
      </c>
      <c r="E35" s="3" t="s">
        <v>6040</v>
      </c>
      <c r="F35" s="3" t="s">
        <v>6041</v>
      </c>
    </row>
    <row r="36" spans="1:6" x14ac:dyDescent="0.35">
      <c r="A36" s="5">
        <f t="shared" ca="1" si="0"/>
        <v>44595</v>
      </c>
      <c r="B36" s="3" t="s">
        <v>576</v>
      </c>
      <c r="C36" s="3" t="s">
        <v>577</v>
      </c>
      <c r="D36" s="3" t="s">
        <v>578</v>
      </c>
      <c r="E36" s="3" t="s">
        <v>6042</v>
      </c>
      <c r="F36" s="3" t="s">
        <v>6043</v>
      </c>
    </row>
    <row r="37" spans="1:6" x14ac:dyDescent="0.35">
      <c r="A37" s="5">
        <f t="shared" ca="1" si="0"/>
        <v>44596</v>
      </c>
      <c r="B37" s="3" t="s">
        <v>579</v>
      </c>
      <c r="C37" s="3" t="s">
        <v>580</v>
      </c>
      <c r="D37" s="3" t="s">
        <v>581</v>
      </c>
      <c r="E37" s="3" t="s">
        <v>6044</v>
      </c>
      <c r="F37" s="3" t="s">
        <v>6045</v>
      </c>
    </row>
    <row r="38" spans="1:6" x14ac:dyDescent="0.35">
      <c r="A38" s="5">
        <f t="shared" ca="1" si="0"/>
        <v>44597</v>
      </c>
      <c r="B38" s="3" t="s">
        <v>582</v>
      </c>
      <c r="C38" s="3" t="s">
        <v>583</v>
      </c>
      <c r="D38" s="3" t="s">
        <v>584</v>
      </c>
      <c r="E38" s="3" t="s">
        <v>6046</v>
      </c>
      <c r="F38" s="3" t="s">
        <v>6047</v>
      </c>
    </row>
    <row r="39" spans="1:6" x14ac:dyDescent="0.35">
      <c r="A39" s="5">
        <f t="shared" ca="1" si="0"/>
        <v>44598</v>
      </c>
      <c r="B39" s="3" t="s">
        <v>585</v>
      </c>
      <c r="C39" s="3" t="s">
        <v>586</v>
      </c>
      <c r="D39" s="3" t="s">
        <v>587</v>
      </c>
      <c r="E39" s="3" t="s">
        <v>6048</v>
      </c>
      <c r="F39" s="3" t="s">
        <v>6049</v>
      </c>
    </row>
    <row r="40" spans="1:6" x14ac:dyDescent="0.35">
      <c r="A40" s="5">
        <f t="shared" ca="1" si="0"/>
        <v>44599</v>
      </c>
      <c r="B40" s="3" t="s">
        <v>588</v>
      </c>
      <c r="C40" s="3" t="s">
        <v>589</v>
      </c>
      <c r="D40" s="3" t="s">
        <v>590</v>
      </c>
      <c r="E40" s="3" t="s">
        <v>6050</v>
      </c>
      <c r="F40" s="3" t="s">
        <v>6051</v>
      </c>
    </row>
    <row r="41" spans="1:6" x14ac:dyDescent="0.35">
      <c r="A41" s="5">
        <f t="shared" ca="1" si="0"/>
        <v>44600</v>
      </c>
      <c r="B41" s="3" t="s">
        <v>591</v>
      </c>
      <c r="C41" s="3" t="s">
        <v>592</v>
      </c>
      <c r="D41" s="3" t="s">
        <v>593</v>
      </c>
      <c r="E41" s="3" t="s">
        <v>6052</v>
      </c>
      <c r="F41" s="3" t="s">
        <v>6053</v>
      </c>
    </row>
    <row r="42" spans="1:6" x14ac:dyDescent="0.35">
      <c r="A42" s="5">
        <f t="shared" ca="1" si="0"/>
        <v>44601</v>
      </c>
      <c r="B42" s="3" t="s">
        <v>594</v>
      </c>
      <c r="C42" s="3" t="s">
        <v>595</v>
      </c>
      <c r="D42" s="3" t="s">
        <v>596</v>
      </c>
      <c r="E42" s="3" t="s">
        <v>6054</v>
      </c>
      <c r="F42" s="3" t="s">
        <v>6055</v>
      </c>
    </row>
    <row r="43" spans="1:6" x14ac:dyDescent="0.35">
      <c r="A43" s="5">
        <f t="shared" ca="1" si="0"/>
        <v>44602</v>
      </c>
      <c r="B43" s="3" t="s">
        <v>597</v>
      </c>
      <c r="C43" s="3" t="s">
        <v>598</v>
      </c>
      <c r="D43" s="3" t="s">
        <v>599</v>
      </c>
      <c r="E43" s="3" t="s">
        <v>6056</v>
      </c>
      <c r="F43" s="3" t="s">
        <v>6057</v>
      </c>
    </row>
    <row r="44" spans="1:6" x14ac:dyDescent="0.35">
      <c r="A44" s="5">
        <f t="shared" ca="1" si="0"/>
        <v>44603</v>
      </c>
      <c r="B44" s="3" t="s">
        <v>600</v>
      </c>
      <c r="C44" s="3" t="s">
        <v>601</v>
      </c>
      <c r="D44" s="3" t="s">
        <v>602</v>
      </c>
      <c r="E44" s="3" t="s">
        <v>6058</v>
      </c>
      <c r="F44" s="3" t="s">
        <v>6059</v>
      </c>
    </row>
    <row r="45" spans="1:6" x14ac:dyDescent="0.35">
      <c r="A45" s="5">
        <f t="shared" ca="1" si="0"/>
        <v>44604</v>
      </c>
      <c r="B45" s="3" t="s">
        <v>603</v>
      </c>
      <c r="C45" s="3" t="s">
        <v>604</v>
      </c>
      <c r="D45" s="3" t="s">
        <v>605</v>
      </c>
      <c r="E45" s="3" t="s">
        <v>6060</v>
      </c>
      <c r="F45" s="3" t="s">
        <v>6061</v>
      </c>
    </row>
    <row r="46" spans="1:6" x14ac:dyDescent="0.35">
      <c r="A46" s="5">
        <f t="shared" ca="1" si="0"/>
        <v>44605</v>
      </c>
      <c r="B46" s="3" t="s">
        <v>606</v>
      </c>
      <c r="C46" s="3" t="s">
        <v>607</v>
      </c>
      <c r="D46" s="3" t="s">
        <v>608</v>
      </c>
      <c r="E46" s="3" t="s">
        <v>6062</v>
      </c>
      <c r="F46" s="3" t="s">
        <v>6063</v>
      </c>
    </row>
    <row r="47" spans="1:6" x14ac:dyDescent="0.35">
      <c r="A47" s="5">
        <f t="shared" ca="1" si="0"/>
        <v>44606</v>
      </c>
      <c r="B47" s="3" t="s">
        <v>609</v>
      </c>
      <c r="C47" s="3" t="s">
        <v>610</v>
      </c>
      <c r="D47" s="3" t="s">
        <v>611</v>
      </c>
      <c r="E47" s="3" t="s">
        <v>6064</v>
      </c>
      <c r="F47" s="3" t="s">
        <v>6065</v>
      </c>
    </row>
    <row r="48" spans="1:6" x14ac:dyDescent="0.35">
      <c r="A48" s="5">
        <f t="shared" ca="1" si="0"/>
        <v>44607</v>
      </c>
      <c r="B48" s="3" t="s">
        <v>612</v>
      </c>
      <c r="C48" s="3" t="s">
        <v>613</v>
      </c>
      <c r="D48" s="3" t="s">
        <v>614</v>
      </c>
      <c r="E48" s="3" t="s">
        <v>6066</v>
      </c>
      <c r="F48" s="3" t="s">
        <v>6067</v>
      </c>
    </row>
    <row r="49" spans="1:6" x14ac:dyDescent="0.35">
      <c r="A49" s="5">
        <f t="shared" ca="1" si="0"/>
        <v>44608</v>
      </c>
      <c r="B49" s="3" t="s">
        <v>615</v>
      </c>
      <c r="C49" s="3" t="s">
        <v>616</v>
      </c>
      <c r="D49" s="3" t="s">
        <v>617</v>
      </c>
      <c r="E49" s="3" t="s">
        <v>6068</v>
      </c>
      <c r="F49" s="3" t="s">
        <v>6069</v>
      </c>
    </row>
    <row r="50" spans="1:6" x14ac:dyDescent="0.35">
      <c r="A50" s="5">
        <f t="shared" ca="1" si="0"/>
        <v>44609</v>
      </c>
      <c r="B50" s="3" t="s">
        <v>618</v>
      </c>
      <c r="C50" s="3" t="s">
        <v>619</v>
      </c>
      <c r="D50" s="3" t="s">
        <v>620</v>
      </c>
      <c r="E50" s="3" t="s">
        <v>6070</v>
      </c>
      <c r="F50" s="3" t="s">
        <v>6071</v>
      </c>
    </row>
    <row r="51" spans="1:6" x14ac:dyDescent="0.35">
      <c r="A51" s="5">
        <f t="shared" ca="1" si="0"/>
        <v>44610</v>
      </c>
      <c r="B51" s="3" t="s">
        <v>621</v>
      </c>
      <c r="C51" s="3" t="s">
        <v>622</v>
      </c>
      <c r="D51" s="3" t="s">
        <v>623</v>
      </c>
      <c r="E51" s="3" t="s">
        <v>6072</v>
      </c>
      <c r="F51" s="3" t="s">
        <v>6073</v>
      </c>
    </row>
    <row r="52" spans="1:6" x14ac:dyDescent="0.35">
      <c r="A52" s="5">
        <f t="shared" ca="1" si="0"/>
        <v>44611</v>
      </c>
      <c r="B52" s="3" t="s">
        <v>624</v>
      </c>
      <c r="C52" s="3" t="s">
        <v>625</v>
      </c>
      <c r="D52" s="3" t="s">
        <v>626</v>
      </c>
      <c r="E52" s="3" t="s">
        <v>6074</v>
      </c>
      <c r="F52" s="3" t="s">
        <v>6075</v>
      </c>
    </row>
    <row r="53" spans="1:6" x14ac:dyDescent="0.35">
      <c r="A53" s="5">
        <f t="shared" ca="1" si="0"/>
        <v>44612</v>
      </c>
      <c r="B53" s="3" t="s">
        <v>627</v>
      </c>
      <c r="C53" s="3" t="s">
        <v>628</v>
      </c>
      <c r="D53" s="3" t="s">
        <v>629</v>
      </c>
      <c r="E53" s="3" t="s">
        <v>6076</v>
      </c>
      <c r="F53" s="3" t="s">
        <v>6077</v>
      </c>
    </row>
    <row r="54" spans="1:6" x14ac:dyDescent="0.35">
      <c r="A54" s="5">
        <f t="shared" ca="1" si="0"/>
        <v>44613</v>
      </c>
      <c r="B54" s="3" t="s">
        <v>630</v>
      </c>
      <c r="C54" s="3" t="s">
        <v>631</v>
      </c>
      <c r="D54" s="3" t="s">
        <v>632</v>
      </c>
      <c r="E54" s="3" t="s">
        <v>6078</v>
      </c>
      <c r="F54" s="3" t="s">
        <v>6079</v>
      </c>
    </row>
    <row r="55" spans="1:6" x14ac:dyDescent="0.35">
      <c r="A55" s="5">
        <f t="shared" ca="1" si="0"/>
        <v>44614</v>
      </c>
      <c r="B55" s="3" t="s">
        <v>633</v>
      </c>
      <c r="C55" s="3" t="s">
        <v>634</v>
      </c>
      <c r="D55" s="3" t="s">
        <v>635</v>
      </c>
      <c r="E55" s="3" t="s">
        <v>6080</v>
      </c>
      <c r="F55" s="3" t="s">
        <v>6081</v>
      </c>
    </row>
    <row r="56" spans="1:6" x14ac:dyDescent="0.35">
      <c r="A56" s="5">
        <f t="shared" ca="1" si="0"/>
        <v>44615</v>
      </c>
      <c r="B56" s="3" t="s">
        <v>636</v>
      </c>
      <c r="C56" s="3" t="s">
        <v>637</v>
      </c>
      <c r="D56" s="3" t="s">
        <v>638</v>
      </c>
      <c r="E56" s="3" t="s">
        <v>6082</v>
      </c>
      <c r="F56" s="3" t="s">
        <v>6083</v>
      </c>
    </row>
    <row r="57" spans="1:6" x14ac:dyDescent="0.35">
      <c r="A57" s="5">
        <f t="shared" ca="1" si="0"/>
        <v>44616</v>
      </c>
      <c r="B57" s="3" t="s">
        <v>639</v>
      </c>
      <c r="C57" s="3" t="s">
        <v>640</v>
      </c>
      <c r="D57" s="3" t="s">
        <v>641</v>
      </c>
      <c r="E57" s="3" t="s">
        <v>6084</v>
      </c>
      <c r="F57" s="3" t="s">
        <v>6085</v>
      </c>
    </row>
    <row r="58" spans="1:6" x14ac:dyDescent="0.35">
      <c r="A58" s="5">
        <f t="shared" ca="1" si="0"/>
        <v>44617</v>
      </c>
      <c r="B58" s="3" t="s">
        <v>642</v>
      </c>
      <c r="C58" s="3" t="s">
        <v>643</v>
      </c>
      <c r="D58" s="3" t="s">
        <v>644</v>
      </c>
      <c r="E58" s="3" t="s">
        <v>6086</v>
      </c>
      <c r="F58" s="3" t="s">
        <v>6087</v>
      </c>
    </row>
    <row r="59" spans="1:6" x14ac:dyDescent="0.35">
      <c r="A59" s="5">
        <f t="shared" ca="1" si="0"/>
        <v>44618</v>
      </c>
      <c r="B59" s="3" t="s">
        <v>645</v>
      </c>
      <c r="C59" s="3" t="s">
        <v>646</v>
      </c>
      <c r="D59" s="3" t="s">
        <v>647</v>
      </c>
      <c r="E59" s="3" t="s">
        <v>6088</v>
      </c>
      <c r="F59" s="3" t="s">
        <v>6089</v>
      </c>
    </row>
    <row r="60" spans="1:6" x14ac:dyDescent="0.35">
      <c r="A60" s="5">
        <f t="shared" ca="1" si="0"/>
        <v>44619</v>
      </c>
      <c r="B60" s="3" t="s">
        <v>648</v>
      </c>
      <c r="C60" s="3" t="s">
        <v>649</v>
      </c>
      <c r="D60" s="3" t="s">
        <v>650</v>
      </c>
      <c r="E60" s="3" t="s">
        <v>6090</v>
      </c>
      <c r="F60" s="3" t="s">
        <v>6091</v>
      </c>
    </row>
    <row r="61" spans="1:6" x14ac:dyDescent="0.35">
      <c r="A61" s="5">
        <f t="shared" ca="1" si="0"/>
        <v>44620</v>
      </c>
      <c r="B61" s="3" t="s">
        <v>651</v>
      </c>
      <c r="C61" s="3" t="s">
        <v>652</v>
      </c>
      <c r="D61" s="3" t="s">
        <v>653</v>
      </c>
      <c r="E61" s="3" t="s">
        <v>6092</v>
      </c>
      <c r="F61" s="3" t="s">
        <v>6093</v>
      </c>
    </row>
    <row r="62" spans="1:6" x14ac:dyDescent="0.35">
      <c r="A62" s="5">
        <f t="shared" ca="1" si="0"/>
        <v>44621</v>
      </c>
      <c r="B62" s="3" t="s">
        <v>654</v>
      </c>
      <c r="C62" s="3" t="s">
        <v>655</v>
      </c>
      <c r="D62" s="3" t="s">
        <v>656</v>
      </c>
      <c r="E62" s="3" t="s">
        <v>6094</v>
      </c>
      <c r="F62" s="3" t="s">
        <v>6095</v>
      </c>
    </row>
    <row r="63" spans="1:6" x14ac:dyDescent="0.35">
      <c r="A63" s="5">
        <f t="shared" ca="1" si="0"/>
        <v>44622</v>
      </c>
      <c r="B63" s="3" t="s">
        <v>657</v>
      </c>
      <c r="C63" s="3" t="s">
        <v>658</v>
      </c>
      <c r="D63" s="3" t="s">
        <v>659</v>
      </c>
      <c r="E63" s="3" t="s">
        <v>6096</v>
      </c>
      <c r="F63" s="3" t="s">
        <v>6097</v>
      </c>
    </row>
    <row r="64" spans="1:6" x14ac:dyDescent="0.35">
      <c r="A64" s="5">
        <f t="shared" ca="1" si="0"/>
        <v>44623</v>
      </c>
      <c r="B64" s="3" t="s">
        <v>660</v>
      </c>
      <c r="C64" s="3" t="s">
        <v>661</v>
      </c>
      <c r="D64" s="3" t="s">
        <v>662</v>
      </c>
      <c r="E64" s="3" t="s">
        <v>6098</v>
      </c>
      <c r="F64" s="3" t="s">
        <v>6099</v>
      </c>
    </row>
    <row r="65" spans="1:6" x14ac:dyDescent="0.35">
      <c r="A65" s="5">
        <f t="shared" ca="1" si="0"/>
        <v>44624</v>
      </c>
      <c r="B65" s="3" t="s">
        <v>663</v>
      </c>
      <c r="C65" s="3" t="s">
        <v>664</v>
      </c>
      <c r="D65" s="3" t="s">
        <v>665</v>
      </c>
      <c r="E65" s="3" t="s">
        <v>6100</v>
      </c>
      <c r="F65" s="3" t="s">
        <v>6101</v>
      </c>
    </row>
    <row r="66" spans="1:6" x14ac:dyDescent="0.35">
      <c r="A66" s="5">
        <f t="shared" ca="1" si="0"/>
        <v>44625</v>
      </c>
      <c r="B66" s="3" t="s">
        <v>666</v>
      </c>
      <c r="C66" s="3" t="s">
        <v>667</v>
      </c>
      <c r="D66" s="3" t="s">
        <v>668</v>
      </c>
      <c r="E66" s="3" t="s">
        <v>6102</v>
      </c>
      <c r="F66" s="3" t="s">
        <v>6103</v>
      </c>
    </row>
    <row r="67" spans="1:6" x14ac:dyDescent="0.35">
      <c r="A67" s="5">
        <f t="shared" ca="1" si="0"/>
        <v>44626</v>
      </c>
      <c r="B67" s="3" t="s">
        <v>669</v>
      </c>
      <c r="C67" s="3" t="s">
        <v>670</v>
      </c>
      <c r="D67" s="3" t="s">
        <v>671</v>
      </c>
      <c r="E67" s="3" t="s">
        <v>6104</v>
      </c>
      <c r="F67" s="3" t="s">
        <v>6105</v>
      </c>
    </row>
    <row r="68" spans="1:6" x14ac:dyDescent="0.35">
      <c r="A68" s="5">
        <f t="shared" ca="1" si="0"/>
        <v>44627</v>
      </c>
      <c r="B68" s="3" t="s">
        <v>672</v>
      </c>
      <c r="C68" s="3" t="s">
        <v>673</v>
      </c>
      <c r="D68" s="3" t="s">
        <v>674</v>
      </c>
      <c r="E68" s="3" t="s">
        <v>6106</v>
      </c>
      <c r="F68" s="3" t="s">
        <v>6107</v>
      </c>
    </row>
    <row r="69" spans="1:6" x14ac:dyDescent="0.35">
      <c r="A69" s="5">
        <f t="shared" ref="A69:A132" ca="1" si="1">A68+1</f>
        <v>44628</v>
      </c>
      <c r="B69" s="3" t="s">
        <v>675</v>
      </c>
      <c r="C69" s="3" t="s">
        <v>676</v>
      </c>
      <c r="D69" s="3" t="s">
        <v>677</v>
      </c>
      <c r="E69" s="3" t="s">
        <v>6108</v>
      </c>
      <c r="F69" s="3" t="s">
        <v>6109</v>
      </c>
    </row>
    <row r="70" spans="1:6" x14ac:dyDescent="0.35">
      <c r="A70" s="5">
        <f t="shared" ca="1" si="1"/>
        <v>44629</v>
      </c>
      <c r="B70" s="3" t="s">
        <v>678</v>
      </c>
      <c r="C70" s="3" t="s">
        <v>679</v>
      </c>
      <c r="D70" s="3" t="s">
        <v>680</v>
      </c>
      <c r="E70" s="3" t="s">
        <v>6110</v>
      </c>
      <c r="F70" s="3" t="s">
        <v>6111</v>
      </c>
    </row>
    <row r="71" spans="1:6" x14ac:dyDescent="0.35">
      <c r="A71" s="5">
        <f t="shared" ca="1" si="1"/>
        <v>44630</v>
      </c>
      <c r="B71" s="3" t="s">
        <v>681</v>
      </c>
      <c r="C71" s="3" t="s">
        <v>682</v>
      </c>
      <c r="D71" s="3" t="s">
        <v>683</v>
      </c>
      <c r="E71" s="3" t="s">
        <v>6112</v>
      </c>
      <c r="F71" s="3" t="s">
        <v>6113</v>
      </c>
    </row>
    <row r="72" spans="1:6" x14ac:dyDescent="0.35">
      <c r="A72" s="5">
        <f t="shared" ca="1" si="1"/>
        <v>44631</v>
      </c>
      <c r="B72" s="3" t="s">
        <v>684</v>
      </c>
      <c r="C72" s="3" t="s">
        <v>685</v>
      </c>
      <c r="D72" s="3" t="s">
        <v>686</v>
      </c>
      <c r="E72" s="3" t="s">
        <v>6114</v>
      </c>
      <c r="F72" s="3" t="s">
        <v>6115</v>
      </c>
    </row>
    <row r="73" spans="1:6" x14ac:dyDescent="0.35">
      <c r="A73" s="5">
        <f t="shared" ca="1" si="1"/>
        <v>44632</v>
      </c>
      <c r="B73" s="3" t="s">
        <v>687</v>
      </c>
      <c r="C73" s="3" t="s">
        <v>688</v>
      </c>
      <c r="D73" s="3" t="s">
        <v>689</v>
      </c>
      <c r="E73" s="3" t="s">
        <v>6116</v>
      </c>
      <c r="F73" s="3" t="s">
        <v>6117</v>
      </c>
    </row>
    <row r="74" spans="1:6" x14ac:dyDescent="0.35">
      <c r="A74" s="5">
        <f t="shared" ca="1" si="1"/>
        <v>44633</v>
      </c>
      <c r="B74" s="3" t="s">
        <v>690</v>
      </c>
      <c r="C74" s="3" t="s">
        <v>691</v>
      </c>
      <c r="D74" s="3" t="s">
        <v>692</v>
      </c>
      <c r="E74" s="3" t="s">
        <v>6118</v>
      </c>
      <c r="F74" s="3" t="s">
        <v>6119</v>
      </c>
    </row>
    <row r="75" spans="1:6" x14ac:dyDescent="0.35">
      <c r="A75" s="5">
        <f t="shared" ca="1" si="1"/>
        <v>44634</v>
      </c>
      <c r="B75" s="3" t="s">
        <v>693</v>
      </c>
      <c r="C75" s="3" t="s">
        <v>694</v>
      </c>
      <c r="D75" s="3" t="s">
        <v>695</v>
      </c>
      <c r="E75" s="3" t="s">
        <v>6120</v>
      </c>
      <c r="F75" s="3" t="s">
        <v>6121</v>
      </c>
    </row>
    <row r="76" spans="1:6" x14ac:dyDescent="0.35">
      <c r="A76" s="5">
        <f t="shared" ca="1" si="1"/>
        <v>44635</v>
      </c>
      <c r="B76" s="3" t="s">
        <v>696</v>
      </c>
      <c r="C76" s="3" t="s">
        <v>697</v>
      </c>
      <c r="D76" s="3" t="s">
        <v>698</v>
      </c>
      <c r="E76" s="3" t="s">
        <v>6122</v>
      </c>
      <c r="F76" s="3" t="s">
        <v>6123</v>
      </c>
    </row>
    <row r="77" spans="1:6" x14ac:dyDescent="0.35">
      <c r="A77" s="5">
        <f t="shared" ca="1" si="1"/>
        <v>44636</v>
      </c>
      <c r="B77" s="3" t="s">
        <v>699</v>
      </c>
      <c r="C77" s="3" t="s">
        <v>700</v>
      </c>
      <c r="D77" s="3" t="s">
        <v>701</v>
      </c>
      <c r="E77" s="3" t="s">
        <v>6124</v>
      </c>
      <c r="F77" s="3" t="s">
        <v>6125</v>
      </c>
    </row>
    <row r="78" spans="1:6" x14ac:dyDescent="0.35">
      <c r="A78" s="5">
        <f t="shared" ca="1" si="1"/>
        <v>44637</v>
      </c>
      <c r="B78" s="3" t="s">
        <v>702</v>
      </c>
      <c r="C78" s="3" t="s">
        <v>703</v>
      </c>
      <c r="D78" s="3" t="s">
        <v>704</v>
      </c>
      <c r="E78" s="3" t="s">
        <v>6126</v>
      </c>
      <c r="F78" s="3" t="s">
        <v>6127</v>
      </c>
    </row>
    <row r="79" spans="1:6" x14ac:dyDescent="0.35">
      <c r="A79" s="5">
        <f t="shared" ca="1" si="1"/>
        <v>44638</v>
      </c>
      <c r="B79" s="3" t="s">
        <v>705</v>
      </c>
      <c r="C79" s="3" t="s">
        <v>706</v>
      </c>
      <c r="D79" s="3" t="s">
        <v>707</v>
      </c>
      <c r="E79" s="3" t="s">
        <v>6128</v>
      </c>
      <c r="F79" s="3" t="s">
        <v>6129</v>
      </c>
    </row>
    <row r="80" spans="1:6" x14ac:dyDescent="0.35">
      <c r="A80" s="5">
        <f t="shared" ca="1" si="1"/>
        <v>44639</v>
      </c>
      <c r="B80" s="3" t="s">
        <v>708</v>
      </c>
      <c r="C80" s="3" t="s">
        <v>709</v>
      </c>
      <c r="D80" s="3" t="s">
        <v>710</v>
      </c>
      <c r="E80" s="3" t="s">
        <v>6130</v>
      </c>
      <c r="F80" s="3" t="s">
        <v>6131</v>
      </c>
    </row>
    <row r="81" spans="1:6" x14ac:dyDescent="0.35">
      <c r="A81" s="5">
        <f t="shared" ca="1" si="1"/>
        <v>44640</v>
      </c>
      <c r="B81" s="3" t="s">
        <v>711</v>
      </c>
      <c r="C81" s="3" t="s">
        <v>712</v>
      </c>
      <c r="D81" s="3" t="s">
        <v>713</v>
      </c>
      <c r="E81" s="3" t="s">
        <v>6132</v>
      </c>
      <c r="F81" s="3" t="s">
        <v>6133</v>
      </c>
    </row>
    <row r="82" spans="1:6" x14ac:dyDescent="0.35">
      <c r="A82" s="5">
        <f t="shared" ca="1" si="1"/>
        <v>44641</v>
      </c>
      <c r="B82" s="3" t="s">
        <v>714</v>
      </c>
      <c r="C82" s="3" t="s">
        <v>715</v>
      </c>
      <c r="D82" s="3" t="s">
        <v>716</v>
      </c>
      <c r="E82" s="3" t="s">
        <v>6134</v>
      </c>
      <c r="F82" s="3" t="s">
        <v>6135</v>
      </c>
    </row>
    <row r="83" spans="1:6" x14ac:dyDescent="0.35">
      <c r="A83" s="5">
        <f t="shared" ca="1" si="1"/>
        <v>44642</v>
      </c>
      <c r="B83" s="3" t="s">
        <v>717</v>
      </c>
      <c r="C83" s="3" t="s">
        <v>718</v>
      </c>
      <c r="D83" s="3" t="s">
        <v>719</v>
      </c>
      <c r="E83" s="3" t="s">
        <v>6136</v>
      </c>
      <c r="F83" s="3" t="s">
        <v>6137</v>
      </c>
    </row>
    <row r="84" spans="1:6" x14ac:dyDescent="0.35">
      <c r="A84" s="5">
        <f t="shared" ca="1" si="1"/>
        <v>44643</v>
      </c>
      <c r="B84" s="3" t="s">
        <v>720</v>
      </c>
      <c r="C84" s="3" t="s">
        <v>721</v>
      </c>
      <c r="D84" s="3" t="s">
        <v>722</v>
      </c>
      <c r="E84" s="3" t="s">
        <v>6138</v>
      </c>
      <c r="F84" s="3" t="s">
        <v>6139</v>
      </c>
    </row>
    <row r="85" spans="1:6" x14ac:dyDescent="0.35">
      <c r="A85" s="5">
        <f t="shared" ca="1" si="1"/>
        <v>44644</v>
      </c>
      <c r="B85" s="3" t="s">
        <v>723</v>
      </c>
      <c r="C85" s="3" t="s">
        <v>724</v>
      </c>
      <c r="D85" s="3" t="s">
        <v>725</v>
      </c>
      <c r="E85" s="3" t="s">
        <v>6140</v>
      </c>
      <c r="F85" s="3" t="s">
        <v>6141</v>
      </c>
    </row>
    <row r="86" spans="1:6" x14ac:dyDescent="0.35">
      <c r="A86" s="5">
        <f t="shared" ca="1" si="1"/>
        <v>44645</v>
      </c>
      <c r="B86" s="3" t="s">
        <v>726</v>
      </c>
      <c r="C86" s="3" t="s">
        <v>727</v>
      </c>
      <c r="D86" s="3" t="s">
        <v>728</v>
      </c>
      <c r="E86" s="3" t="s">
        <v>6142</v>
      </c>
      <c r="F86" s="3" t="s">
        <v>6143</v>
      </c>
    </row>
    <row r="87" spans="1:6" x14ac:dyDescent="0.35">
      <c r="A87" s="5">
        <f t="shared" ca="1" si="1"/>
        <v>44646</v>
      </c>
      <c r="B87" s="3" t="s">
        <v>729</v>
      </c>
      <c r="C87" s="3" t="s">
        <v>730</v>
      </c>
      <c r="D87" s="3" t="s">
        <v>731</v>
      </c>
      <c r="E87" s="3" t="s">
        <v>6144</v>
      </c>
      <c r="F87" s="3" t="s">
        <v>6145</v>
      </c>
    </row>
    <row r="88" spans="1:6" x14ac:dyDescent="0.35">
      <c r="A88" s="5">
        <f t="shared" ca="1" si="1"/>
        <v>44647</v>
      </c>
      <c r="B88" s="3" t="s">
        <v>732</v>
      </c>
      <c r="C88" s="3" t="s">
        <v>733</v>
      </c>
      <c r="D88" s="3" t="s">
        <v>734</v>
      </c>
      <c r="E88" s="3" t="s">
        <v>6146</v>
      </c>
      <c r="F88" s="3" t="s">
        <v>6147</v>
      </c>
    </row>
    <row r="89" spans="1:6" x14ac:dyDescent="0.35">
      <c r="A89" s="5">
        <f t="shared" ca="1" si="1"/>
        <v>44648</v>
      </c>
      <c r="B89" s="3" t="s">
        <v>735</v>
      </c>
      <c r="C89" s="3" t="s">
        <v>736</v>
      </c>
      <c r="D89" s="3" t="s">
        <v>737</v>
      </c>
      <c r="E89" s="3" t="s">
        <v>6148</v>
      </c>
      <c r="F89" s="3" t="s">
        <v>6149</v>
      </c>
    </row>
    <row r="90" spans="1:6" x14ac:dyDescent="0.35">
      <c r="A90" s="5">
        <f t="shared" ca="1" si="1"/>
        <v>44649</v>
      </c>
      <c r="B90" s="3" t="s">
        <v>738</v>
      </c>
      <c r="C90" s="3" t="s">
        <v>739</v>
      </c>
      <c r="D90" s="3" t="s">
        <v>740</v>
      </c>
      <c r="E90" s="3" t="s">
        <v>6150</v>
      </c>
      <c r="F90" s="3" t="s">
        <v>6151</v>
      </c>
    </row>
    <row r="91" spans="1:6" x14ac:dyDescent="0.35">
      <c r="A91" s="5">
        <f t="shared" ca="1" si="1"/>
        <v>44650</v>
      </c>
      <c r="B91" s="3" t="s">
        <v>741</v>
      </c>
      <c r="C91" s="3" t="s">
        <v>742</v>
      </c>
      <c r="D91" s="3" t="s">
        <v>743</v>
      </c>
      <c r="E91" s="3" t="s">
        <v>6152</v>
      </c>
      <c r="F91" s="3" t="s">
        <v>6153</v>
      </c>
    </row>
    <row r="92" spans="1:6" x14ac:dyDescent="0.35">
      <c r="A92" s="5">
        <f t="shared" ca="1" si="1"/>
        <v>44651</v>
      </c>
      <c r="B92" s="3" t="s">
        <v>744</v>
      </c>
      <c r="C92" s="3" t="s">
        <v>745</v>
      </c>
      <c r="D92" s="3" t="s">
        <v>746</v>
      </c>
      <c r="E92" s="3" t="s">
        <v>6154</v>
      </c>
      <c r="F92" s="3" t="s">
        <v>6155</v>
      </c>
    </row>
    <row r="93" spans="1:6" x14ac:dyDescent="0.35">
      <c r="A93" s="5">
        <f t="shared" ca="1" si="1"/>
        <v>44652</v>
      </c>
      <c r="B93" s="3" t="s">
        <v>747</v>
      </c>
      <c r="C93" s="3" t="s">
        <v>748</v>
      </c>
      <c r="D93" s="3" t="s">
        <v>749</v>
      </c>
      <c r="E93" s="3" t="s">
        <v>6156</v>
      </c>
      <c r="F93" s="3" t="s">
        <v>6157</v>
      </c>
    </row>
    <row r="94" spans="1:6" x14ac:dyDescent="0.35">
      <c r="A94" s="5">
        <f t="shared" ca="1" si="1"/>
        <v>44653</v>
      </c>
      <c r="B94" s="3" t="s">
        <v>750</v>
      </c>
      <c r="C94" s="3" t="s">
        <v>751</v>
      </c>
      <c r="D94" s="3" t="s">
        <v>752</v>
      </c>
      <c r="E94" s="3" t="s">
        <v>6158</v>
      </c>
      <c r="F94" s="3" t="s">
        <v>6159</v>
      </c>
    </row>
    <row r="95" spans="1:6" x14ac:dyDescent="0.35">
      <c r="A95" s="5">
        <f t="shared" ca="1" si="1"/>
        <v>44654</v>
      </c>
      <c r="B95" s="3" t="s">
        <v>753</v>
      </c>
      <c r="C95" s="3" t="s">
        <v>754</v>
      </c>
      <c r="D95" s="3" t="s">
        <v>755</v>
      </c>
      <c r="E95" s="3" t="s">
        <v>6160</v>
      </c>
      <c r="F95" s="3" t="s">
        <v>6161</v>
      </c>
    </row>
    <row r="96" spans="1:6" x14ac:dyDescent="0.35">
      <c r="A96" s="5">
        <f t="shared" ca="1" si="1"/>
        <v>44655</v>
      </c>
      <c r="B96" s="3" t="s">
        <v>756</v>
      </c>
      <c r="C96" s="3" t="s">
        <v>757</v>
      </c>
      <c r="D96" s="3" t="s">
        <v>758</v>
      </c>
      <c r="E96" s="3" t="s">
        <v>6162</v>
      </c>
      <c r="F96" s="3" t="s">
        <v>6163</v>
      </c>
    </row>
    <row r="97" spans="1:6" x14ac:dyDescent="0.35">
      <c r="A97" s="5">
        <f t="shared" ca="1" si="1"/>
        <v>44656</v>
      </c>
      <c r="B97" s="3" t="s">
        <v>759</v>
      </c>
      <c r="C97" s="3" t="s">
        <v>760</v>
      </c>
      <c r="D97" s="3" t="s">
        <v>761</v>
      </c>
      <c r="E97" s="3" t="s">
        <v>6164</v>
      </c>
      <c r="F97" s="3" t="s">
        <v>6165</v>
      </c>
    </row>
    <row r="98" spans="1:6" x14ac:dyDescent="0.35">
      <c r="A98" s="5">
        <f t="shared" ca="1" si="1"/>
        <v>44657</v>
      </c>
      <c r="B98" s="3" t="s">
        <v>762</v>
      </c>
      <c r="C98" s="3" t="s">
        <v>763</v>
      </c>
      <c r="D98" s="3" t="s">
        <v>764</v>
      </c>
      <c r="E98" s="3" t="s">
        <v>6166</v>
      </c>
      <c r="F98" s="3" t="s">
        <v>6167</v>
      </c>
    </row>
    <row r="99" spans="1:6" x14ac:dyDescent="0.35">
      <c r="A99" s="5">
        <f t="shared" ca="1" si="1"/>
        <v>44658</v>
      </c>
      <c r="B99" s="3" t="s">
        <v>765</v>
      </c>
      <c r="C99" s="3" t="s">
        <v>766</v>
      </c>
      <c r="D99" s="3" t="s">
        <v>767</v>
      </c>
      <c r="E99" s="3" t="s">
        <v>6168</v>
      </c>
      <c r="F99" s="3" t="s">
        <v>6169</v>
      </c>
    </row>
    <row r="100" spans="1:6" x14ac:dyDescent="0.35">
      <c r="A100" s="5">
        <f t="shared" ca="1" si="1"/>
        <v>44659</v>
      </c>
      <c r="B100" s="3" t="s">
        <v>768</v>
      </c>
      <c r="C100" s="3" t="s">
        <v>769</v>
      </c>
      <c r="D100" s="3" t="s">
        <v>770</v>
      </c>
      <c r="E100" s="3" t="s">
        <v>6170</v>
      </c>
      <c r="F100" s="3" t="s">
        <v>6171</v>
      </c>
    </row>
    <row r="101" spans="1:6" x14ac:dyDescent="0.35">
      <c r="A101" s="5">
        <f t="shared" ca="1" si="1"/>
        <v>44660</v>
      </c>
      <c r="B101" s="3" t="s">
        <v>771</v>
      </c>
      <c r="C101" s="3" t="s">
        <v>772</v>
      </c>
      <c r="D101" s="3" t="s">
        <v>773</v>
      </c>
      <c r="E101" s="3" t="s">
        <v>6172</v>
      </c>
      <c r="F101" s="3" t="s">
        <v>6173</v>
      </c>
    </row>
    <row r="102" spans="1:6" x14ac:dyDescent="0.35">
      <c r="A102" s="5">
        <f t="shared" ca="1" si="1"/>
        <v>44661</v>
      </c>
      <c r="B102" s="3" t="s">
        <v>774</v>
      </c>
      <c r="C102" s="3" t="s">
        <v>775</v>
      </c>
      <c r="D102" s="3" t="s">
        <v>776</v>
      </c>
      <c r="E102" s="3" t="s">
        <v>6174</v>
      </c>
      <c r="F102" s="3" t="s">
        <v>6175</v>
      </c>
    </row>
    <row r="103" spans="1:6" x14ac:dyDescent="0.35">
      <c r="A103" s="5">
        <f t="shared" ca="1" si="1"/>
        <v>44662</v>
      </c>
      <c r="B103" s="3" t="s">
        <v>777</v>
      </c>
      <c r="C103" s="3" t="s">
        <v>778</v>
      </c>
      <c r="D103" s="3" t="s">
        <v>779</v>
      </c>
      <c r="E103" s="3" t="s">
        <v>6176</v>
      </c>
      <c r="F103" s="3" t="s">
        <v>6177</v>
      </c>
    </row>
    <row r="104" spans="1:6" x14ac:dyDescent="0.35">
      <c r="A104" s="5">
        <f t="shared" ca="1" si="1"/>
        <v>44663</v>
      </c>
      <c r="B104" s="3" t="s">
        <v>780</v>
      </c>
      <c r="C104" s="3" t="s">
        <v>781</v>
      </c>
      <c r="D104" s="3" t="s">
        <v>782</v>
      </c>
      <c r="E104" s="3" t="s">
        <v>6178</v>
      </c>
      <c r="F104" s="3" t="s">
        <v>6179</v>
      </c>
    </row>
    <row r="105" spans="1:6" x14ac:dyDescent="0.35">
      <c r="A105" s="5">
        <f t="shared" ca="1" si="1"/>
        <v>44664</v>
      </c>
      <c r="B105" s="3" t="s">
        <v>783</v>
      </c>
      <c r="C105" s="3" t="s">
        <v>784</v>
      </c>
      <c r="D105" s="3" t="s">
        <v>785</v>
      </c>
      <c r="E105" s="3" t="s">
        <v>6180</v>
      </c>
      <c r="F105" s="3" t="s">
        <v>6181</v>
      </c>
    </row>
    <row r="106" spans="1:6" x14ac:dyDescent="0.35">
      <c r="A106" s="5">
        <f t="shared" ca="1" si="1"/>
        <v>44665</v>
      </c>
      <c r="B106" s="3" t="s">
        <v>786</v>
      </c>
      <c r="C106" s="3" t="s">
        <v>787</v>
      </c>
      <c r="D106" s="3" t="s">
        <v>788</v>
      </c>
      <c r="E106" s="3" t="s">
        <v>6182</v>
      </c>
      <c r="F106" s="3" t="s">
        <v>6183</v>
      </c>
    </row>
    <row r="107" spans="1:6" x14ac:dyDescent="0.35">
      <c r="A107" s="5">
        <f t="shared" ca="1" si="1"/>
        <v>44666</v>
      </c>
      <c r="B107" s="3" t="s">
        <v>789</v>
      </c>
      <c r="C107" s="3" t="s">
        <v>790</v>
      </c>
      <c r="D107" s="3" t="s">
        <v>791</v>
      </c>
      <c r="E107" s="3" t="s">
        <v>6184</v>
      </c>
      <c r="F107" s="3" t="s">
        <v>6185</v>
      </c>
    </row>
    <row r="108" spans="1:6" x14ac:dyDescent="0.35">
      <c r="A108" s="5">
        <f t="shared" ca="1" si="1"/>
        <v>44667</v>
      </c>
      <c r="B108" s="3" t="s">
        <v>792</v>
      </c>
      <c r="C108" s="3" t="s">
        <v>793</v>
      </c>
      <c r="D108" s="3" t="s">
        <v>794</v>
      </c>
      <c r="E108" s="3" t="s">
        <v>6186</v>
      </c>
      <c r="F108" s="3" t="s">
        <v>6187</v>
      </c>
    </row>
    <row r="109" spans="1:6" x14ac:dyDescent="0.35">
      <c r="A109" s="5">
        <f t="shared" ca="1" si="1"/>
        <v>44668</v>
      </c>
      <c r="B109" s="3" t="s">
        <v>795</v>
      </c>
      <c r="C109" s="3" t="s">
        <v>796</v>
      </c>
      <c r="D109" s="3" t="s">
        <v>797</v>
      </c>
      <c r="E109" s="3" t="s">
        <v>6188</v>
      </c>
      <c r="F109" s="3" t="s">
        <v>6189</v>
      </c>
    </row>
    <row r="110" spans="1:6" x14ac:dyDescent="0.35">
      <c r="A110" s="5">
        <f t="shared" ca="1" si="1"/>
        <v>44669</v>
      </c>
      <c r="B110" s="3" t="s">
        <v>798</v>
      </c>
      <c r="C110" s="3" t="s">
        <v>799</v>
      </c>
      <c r="D110" s="3" t="s">
        <v>800</v>
      </c>
      <c r="E110" s="3" t="s">
        <v>6190</v>
      </c>
      <c r="F110" s="3" t="s">
        <v>6191</v>
      </c>
    </row>
    <row r="111" spans="1:6" x14ac:dyDescent="0.35">
      <c r="A111" s="5">
        <f t="shared" ca="1" si="1"/>
        <v>44670</v>
      </c>
      <c r="B111" s="3" t="s">
        <v>801</v>
      </c>
      <c r="C111" s="3" t="s">
        <v>802</v>
      </c>
      <c r="D111" s="3" t="s">
        <v>803</v>
      </c>
      <c r="E111" s="3" t="s">
        <v>6192</v>
      </c>
      <c r="F111" s="3" t="s">
        <v>6193</v>
      </c>
    </row>
    <row r="112" spans="1:6" x14ac:dyDescent="0.35">
      <c r="A112" s="5">
        <f t="shared" ca="1" si="1"/>
        <v>44671</v>
      </c>
      <c r="B112" s="3" t="s">
        <v>804</v>
      </c>
      <c r="C112" s="3" t="s">
        <v>805</v>
      </c>
      <c r="D112" s="3" t="s">
        <v>806</v>
      </c>
      <c r="E112" s="3" t="s">
        <v>6194</v>
      </c>
      <c r="F112" s="3" t="s">
        <v>6195</v>
      </c>
    </row>
    <row r="113" spans="1:6" x14ac:dyDescent="0.35">
      <c r="A113" s="5">
        <f t="shared" ca="1" si="1"/>
        <v>44672</v>
      </c>
      <c r="B113" s="3" t="s">
        <v>807</v>
      </c>
      <c r="C113" s="3" t="s">
        <v>808</v>
      </c>
      <c r="D113" s="3" t="s">
        <v>809</v>
      </c>
      <c r="E113" s="3" t="s">
        <v>6196</v>
      </c>
      <c r="F113" s="3" t="s">
        <v>6197</v>
      </c>
    </row>
    <row r="114" spans="1:6" x14ac:dyDescent="0.35">
      <c r="A114" s="5">
        <f t="shared" ca="1" si="1"/>
        <v>44673</v>
      </c>
      <c r="B114" s="3" t="s">
        <v>810</v>
      </c>
      <c r="C114" s="3" t="s">
        <v>811</v>
      </c>
      <c r="D114" s="3" t="s">
        <v>812</v>
      </c>
      <c r="E114" s="3" t="s">
        <v>6198</v>
      </c>
      <c r="F114" s="3" t="s">
        <v>6199</v>
      </c>
    </row>
    <row r="115" spans="1:6" x14ac:dyDescent="0.35">
      <c r="A115" s="5">
        <f t="shared" ca="1" si="1"/>
        <v>44674</v>
      </c>
      <c r="B115" s="3" t="s">
        <v>813</v>
      </c>
      <c r="C115" s="3" t="s">
        <v>814</v>
      </c>
      <c r="D115" s="3" t="s">
        <v>815</v>
      </c>
      <c r="E115" s="3" t="s">
        <v>6200</v>
      </c>
      <c r="F115" s="3" t="s">
        <v>6201</v>
      </c>
    </row>
    <row r="116" spans="1:6" x14ac:dyDescent="0.35">
      <c r="A116" s="5">
        <f t="shared" ca="1" si="1"/>
        <v>44675</v>
      </c>
      <c r="B116" s="3" t="s">
        <v>816</v>
      </c>
      <c r="C116" s="3" t="s">
        <v>817</v>
      </c>
      <c r="D116" s="3" t="s">
        <v>818</v>
      </c>
      <c r="E116" s="3" t="s">
        <v>6202</v>
      </c>
      <c r="F116" s="3" t="s">
        <v>6203</v>
      </c>
    </row>
    <row r="117" spans="1:6" x14ac:dyDescent="0.35">
      <c r="A117" s="5">
        <f t="shared" ca="1" si="1"/>
        <v>44676</v>
      </c>
      <c r="B117" s="3" t="s">
        <v>819</v>
      </c>
      <c r="C117" s="3" t="s">
        <v>820</v>
      </c>
      <c r="D117" s="3" t="s">
        <v>821</v>
      </c>
      <c r="E117" s="3" t="s">
        <v>6204</v>
      </c>
      <c r="F117" s="3" t="s">
        <v>6205</v>
      </c>
    </row>
    <row r="118" spans="1:6" x14ac:dyDescent="0.35">
      <c r="A118" s="5">
        <f t="shared" ca="1" si="1"/>
        <v>44677</v>
      </c>
      <c r="B118" s="3" t="s">
        <v>822</v>
      </c>
      <c r="C118" s="3" t="s">
        <v>823</v>
      </c>
      <c r="D118" s="3" t="s">
        <v>824</v>
      </c>
      <c r="E118" s="3" t="s">
        <v>6206</v>
      </c>
      <c r="F118" s="3" t="s">
        <v>6207</v>
      </c>
    </row>
    <row r="119" spans="1:6" x14ac:dyDescent="0.35">
      <c r="A119" s="5">
        <f t="shared" ca="1" si="1"/>
        <v>44678</v>
      </c>
      <c r="B119" s="3" t="s">
        <v>825</v>
      </c>
      <c r="C119" s="3" t="s">
        <v>826</v>
      </c>
      <c r="D119" s="3" t="s">
        <v>827</v>
      </c>
      <c r="E119" s="3" t="s">
        <v>6208</v>
      </c>
      <c r="F119" s="3" t="s">
        <v>6209</v>
      </c>
    </row>
    <row r="120" spans="1:6" x14ac:dyDescent="0.35">
      <c r="A120" s="5">
        <f t="shared" ca="1" si="1"/>
        <v>44679</v>
      </c>
      <c r="B120" s="3" t="s">
        <v>828</v>
      </c>
      <c r="C120" s="3" t="s">
        <v>829</v>
      </c>
      <c r="D120" s="3" t="s">
        <v>830</v>
      </c>
      <c r="E120" s="3" t="s">
        <v>6210</v>
      </c>
      <c r="F120" s="3" t="s">
        <v>6211</v>
      </c>
    </row>
    <row r="121" spans="1:6" x14ac:dyDescent="0.35">
      <c r="A121" s="5">
        <f t="shared" ca="1" si="1"/>
        <v>44680</v>
      </c>
      <c r="B121" s="3" t="s">
        <v>831</v>
      </c>
      <c r="C121" s="3" t="s">
        <v>832</v>
      </c>
      <c r="D121" s="3" t="s">
        <v>833</v>
      </c>
      <c r="E121" s="3" t="s">
        <v>6212</v>
      </c>
      <c r="F121" s="3" t="s">
        <v>6213</v>
      </c>
    </row>
    <row r="122" spans="1:6" x14ac:dyDescent="0.35">
      <c r="A122" s="5">
        <f t="shared" ca="1" si="1"/>
        <v>44681</v>
      </c>
      <c r="B122" s="3" t="s">
        <v>834</v>
      </c>
      <c r="C122" s="3" t="s">
        <v>835</v>
      </c>
      <c r="D122" s="3" t="s">
        <v>836</v>
      </c>
      <c r="E122" s="3" t="s">
        <v>6214</v>
      </c>
      <c r="F122" s="3" t="s">
        <v>6215</v>
      </c>
    </row>
    <row r="123" spans="1:6" x14ac:dyDescent="0.35">
      <c r="A123" s="5">
        <f t="shared" ca="1" si="1"/>
        <v>44682</v>
      </c>
      <c r="B123" s="3" t="s">
        <v>837</v>
      </c>
      <c r="C123" s="3" t="s">
        <v>838</v>
      </c>
      <c r="D123" s="3" t="s">
        <v>839</v>
      </c>
      <c r="E123" s="3" t="s">
        <v>6216</v>
      </c>
      <c r="F123" s="3" t="s">
        <v>6217</v>
      </c>
    </row>
    <row r="124" spans="1:6" x14ac:dyDescent="0.35">
      <c r="A124" s="5">
        <f t="shared" ca="1" si="1"/>
        <v>44683</v>
      </c>
      <c r="B124" s="3" t="s">
        <v>840</v>
      </c>
      <c r="C124" s="3" t="s">
        <v>841</v>
      </c>
      <c r="D124" s="3" t="s">
        <v>842</v>
      </c>
      <c r="E124" s="3" t="s">
        <v>6218</v>
      </c>
      <c r="F124" s="3" t="s">
        <v>6219</v>
      </c>
    </row>
    <row r="125" spans="1:6" x14ac:dyDescent="0.35">
      <c r="A125" s="5">
        <f t="shared" ca="1" si="1"/>
        <v>44684</v>
      </c>
      <c r="B125" s="3" t="s">
        <v>843</v>
      </c>
      <c r="C125" s="3" t="s">
        <v>844</v>
      </c>
      <c r="D125" s="3" t="s">
        <v>845</v>
      </c>
      <c r="E125" s="3" t="s">
        <v>6220</v>
      </c>
      <c r="F125" s="3" t="s">
        <v>6221</v>
      </c>
    </row>
    <row r="126" spans="1:6" x14ac:dyDescent="0.35">
      <c r="A126" s="5">
        <f t="shared" ca="1" si="1"/>
        <v>44685</v>
      </c>
      <c r="B126" s="3" t="s">
        <v>846</v>
      </c>
      <c r="C126" s="3" t="s">
        <v>847</v>
      </c>
      <c r="D126" s="3" t="s">
        <v>848</v>
      </c>
      <c r="E126" s="3" t="s">
        <v>6222</v>
      </c>
      <c r="F126" s="3" t="s">
        <v>6223</v>
      </c>
    </row>
    <row r="127" spans="1:6" x14ac:dyDescent="0.35">
      <c r="A127" s="5">
        <f t="shared" ca="1" si="1"/>
        <v>44686</v>
      </c>
      <c r="B127" s="3" t="s">
        <v>849</v>
      </c>
      <c r="C127" s="3" t="s">
        <v>850</v>
      </c>
      <c r="D127" s="3" t="s">
        <v>851</v>
      </c>
      <c r="E127" s="3" t="s">
        <v>6224</v>
      </c>
      <c r="F127" s="3" t="s">
        <v>6225</v>
      </c>
    </row>
    <row r="128" spans="1:6" x14ac:dyDescent="0.35">
      <c r="A128" s="5">
        <f t="shared" ca="1" si="1"/>
        <v>44687</v>
      </c>
      <c r="B128" s="3" t="s">
        <v>852</v>
      </c>
      <c r="C128" s="3" t="s">
        <v>853</v>
      </c>
      <c r="D128" s="3" t="s">
        <v>854</v>
      </c>
      <c r="E128" s="3" t="s">
        <v>6226</v>
      </c>
      <c r="F128" s="3" t="s">
        <v>6227</v>
      </c>
    </row>
    <row r="129" spans="1:6" x14ac:dyDescent="0.35">
      <c r="A129" s="5">
        <f t="shared" ca="1" si="1"/>
        <v>44688</v>
      </c>
      <c r="B129" s="3" t="s">
        <v>855</v>
      </c>
      <c r="C129" s="3" t="s">
        <v>856</v>
      </c>
      <c r="D129" s="3" t="s">
        <v>857</v>
      </c>
      <c r="E129" s="3" t="s">
        <v>6228</v>
      </c>
      <c r="F129" s="3" t="s">
        <v>6229</v>
      </c>
    </row>
    <row r="130" spans="1:6" x14ac:dyDescent="0.35">
      <c r="A130" s="5">
        <f t="shared" ca="1" si="1"/>
        <v>44689</v>
      </c>
      <c r="B130" s="3" t="s">
        <v>858</v>
      </c>
      <c r="C130" s="3" t="s">
        <v>859</v>
      </c>
      <c r="D130" s="3" t="s">
        <v>860</v>
      </c>
      <c r="E130" s="3" t="s">
        <v>6230</v>
      </c>
      <c r="F130" s="3" t="s">
        <v>6231</v>
      </c>
    </row>
    <row r="131" spans="1:6" x14ac:dyDescent="0.35">
      <c r="A131" s="5">
        <f t="shared" ca="1" si="1"/>
        <v>44690</v>
      </c>
      <c r="B131" s="3" t="s">
        <v>861</v>
      </c>
      <c r="C131" s="3" t="s">
        <v>862</v>
      </c>
      <c r="D131" s="3" t="s">
        <v>863</v>
      </c>
      <c r="E131" s="3" t="s">
        <v>6232</v>
      </c>
      <c r="F131" s="3" t="s">
        <v>6233</v>
      </c>
    </row>
    <row r="132" spans="1:6" x14ac:dyDescent="0.35">
      <c r="A132" s="5">
        <f t="shared" ca="1" si="1"/>
        <v>44691</v>
      </c>
      <c r="B132" s="3" t="s">
        <v>864</v>
      </c>
      <c r="C132" s="3" t="s">
        <v>865</v>
      </c>
      <c r="D132" s="3" t="s">
        <v>866</v>
      </c>
      <c r="E132" s="3" t="s">
        <v>6234</v>
      </c>
      <c r="F132" s="3" t="s">
        <v>6235</v>
      </c>
    </row>
    <row r="133" spans="1:6" x14ac:dyDescent="0.35">
      <c r="A133" s="5">
        <f t="shared" ref="A133:A196" ca="1" si="2">A132+1</f>
        <v>44692</v>
      </c>
      <c r="B133" s="3" t="s">
        <v>867</v>
      </c>
      <c r="C133" s="3" t="s">
        <v>868</v>
      </c>
      <c r="D133" s="3" t="s">
        <v>869</v>
      </c>
      <c r="E133" s="3" t="s">
        <v>6236</v>
      </c>
      <c r="F133" s="3" t="s">
        <v>6237</v>
      </c>
    </row>
    <row r="134" spans="1:6" x14ac:dyDescent="0.35">
      <c r="A134" s="5">
        <f t="shared" ca="1" si="2"/>
        <v>44693</v>
      </c>
      <c r="B134" s="3" t="s">
        <v>870</v>
      </c>
      <c r="C134" s="3" t="s">
        <v>871</v>
      </c>
      <c r="D134" s="3" t="s">
        <v>872</v>
      </c>
      <c r="E134" s="3" t="s">
        <v>6238</v>
      </c>
      <c r="F134" s="3" t="s">
        <v>6239</v>
      </c>
    </row>
    <row r="135" spans="1:6" x14ac:dyDescent="0.35">
      <c r="A135" s="5">
        <f t="shared" ca="1" si="2"/>
        <v>44694</v>
      </c>
      <c r="B135" s="3" t="s">
        <v>873</v>
      </c>
      <c r="C135" s="3" t="s">
        <v>874</v>
      </c>
      <c r="D135" s="3" t="s">
        <v>875</v>
      </c>
      <c r="E135" s="3" t="s">
        <v>6240</v>
      </c>
      <c r="F135" s="3" t="s">
        <v>6241</v>
      </c>
    </row>
    <row r="136" spans="1:6" x14ac:dyDescent="0.35">
      <c r="A136" s="5">
        <f t="shared" ca="1" si="2"/>
        <v>44695</v>
      </c>
      <c r="B136" s="3" t="s">
        <v>876</v>
      </c>
      <c r="C136" s="3" t="s">
        <v>877</v>
      </c>
      <c r="D136" s="3" t="s">
        <v>878</v>
      </c>
      <c r="E136" s="3" t="s">
        <v>6242</v>
      </c>
      <c r="F136" s="3" t="s">
        <v>6243</v>
      </c>
    </row>
    <row r="137" spans="1:6" x14ac:dyDescent="0.35">
      <c r="A137" s="5">
        <f t="shared" ca="1" si="2"/>
        <v>44696</v>
      </c>
      <c r="B137" s="3" t="s">
        <v>879</v>
      </c>
      <c r="C137" s="3" t="s">
        <v>880</v>
      </c>
      <c r="D137" s="3" t="s">
        <v>881</v>
      </c>
      <c r="E137" s="3" t="s">
        <v>6244</v>
      </c>
      <c r="F137" s="3" t="s">
        <v>6245</v>
      </c>
    </row>
    <row r="138" spans="1:6" x14ac:dyDescent="0.35">
      <c r="A138" s="5">
        <f t="shared" ca="1" si="2"/>
        <v>44697</v>
      </c>
      <c r="B138" s="3" t="s">
        <v>882</v>
      </c>
      <c r="C138" s="3" t="s">
        <v>883</v>
      </c>
      <c r="D138" s="3" t="s">
        <v>884</v>
      </c>
      <c r="E138" s="3" t="s">
        <v>6246</v>
      </c>
      <c r="F138" s="3" t="s">
        <v>6247</v>
      </c>
    </row>
    <row r="139" spans="1:6" x14ac:dyDescent="0.35">
      <c r="A139" s="5">
        <f t="shared" ca="1" si="2"/>
        <v>44698</v>
      </c>
      <c r="B139" s="3" t="s">
        <v>885</v>
      </c>
      <c r="C139" s="3" t="s">
        <v>886</v>
      </c>
      <c r="D139" s="3" t="s">
        <v>887</v>
      </c>
      <c r="E139" s="3" t="s">
        <v>6248</v>
      </c>
      <c r="F139" s="3" t="s">
        <v>6249</v>
      </c>
    </row>
    <row r="140" spans="1:6" x14ac:dyDescent="0.35">
      <c r="A140" s="5">
        <f t="shared" ca="1" si="2"/>
        <v>44699</v>
      </c>
      <c r="B140" s="3" t="s">
        <v>888</v>
      </c>
      <c r="C140" s="3" t="s">
        <v>889</v>
      </c>
      <c r="D140" s="3" t="s">
        <v>890</v>
      </c>
      <c r="E140" s="3" t="s">
        <v>6250</v>
      </c>
      <c r="F140" s="3" t="s">
        <v>6251</v>
      </c>
    </row>
    <row r="141" spans="1:6" x14ac:dyDescent="0.35">
      <c r="A141" s="5">
        <f t="shared" ca="1" si="2"/>
        <v>44700</v>
      </c>
      <c r="B141" s="3" t="s">
        <v>891</v>
      </c>
      <c r="C141" s="3" t="s">
        <v>892</v>
      </c>
      <c r="D141" s="3" t="s">
        <v>893</v>
      </c>
      <c r="E141" s="3" t="s">
        <v>6252</v>
      </c>
      <c r="F141" s="3" t="s">
        <v>6253</v>
      </c>
    </row>
    <row r="142" spans="1:6" x14ac:dyDescent="0.35">
      <c r="A142" s="5">
        <f t="shared" ca="1" si="2"/>
        <v>44701</v>
      </c>
      <c r="B142" s="3" t="s">
        <v>894</v>
      </c>
      <c r="C142" s="3" t="s">
        <v>895</v>
      </c>
      <c r="D142" s="3" t="s">
        <v>896</v>
      </c>
      <c r="E142" s="3" t="s">
        <v>6254</v>
      </c>
      <c r="F142" s="3" t="s">
        <v>6255</v>
      </c>
    </row>
    <row r="143" spans="1:6" x14ac:dyDescent="0.35">
      <c r="A143" s="5">
        <f t="shared" ca="1" si="2"/>
        <v>44702</v>
      </c>
      <c r="B143" s="3" t="s">
        <v>897</v>
      </c>
      <c r="C143" s="3" t="s">
        <v>898</v>
      </c>
      <c r="D143" s="3" t="s">
        <v>899</v>
      </c>
      <c r="E143" s="3" t="s">
        <v>6256</v>
      </c>
      <c r="F143" s="3" t="s">
        <v>6257</v>
      </c>
    </row>
    <row r="144" spans="1:6" x14ac:dyDescent="0.35">
      <c r="A144" s="5">
        <f t="shared" ca="1" si="2"/>
        <v>44703</v>
      </c>
      <c r="B144" s="3" t="s">
        <v>900</v>
      </c>
      <c r="C144" s="3" t="s">
        <v>901</v>
      </c>
      <c r="D144" s="3" t="s">
        <v>902</v>
      </c>
      <c r="E144" s="3" t="s">
        <v>6258</v>
      </c>
      <c r="F144" s="3" t="s">
        <v>6259</v>
      </c>
    </row>
    <row r="145" spans="1:6" x14ac:dyDescent="0.35">
      <c r="A145" s="5">
        <f t="shared" ca="1" si="2"/>
        <v>44704</v>
      </c>
      <c r="B145" s="3" t="s">
        <v>903</v>
      </c>
      <c r="C145" s="3" t="s">
        <v>904</v>
      </c>
      <c r="D145" s="3" t="s">
        <v>905</v>
      </c>
      <c r="E145" s="3" t="s">
        <v>6260</v>
      </c>
      <c r="F145" s="3" t="s">
        <v>6261</v>
      </c>
    </row>
    <row r="146" spans="1:6" x14ac:dyDescent="0.35">
      <c r="A146" s="5">
        <f t="shared" ca="1" si="2"/>
        <v>44705</v>
      </c>
      <c r="B146" s="3" t="s">
        <v>906</v>
      </c>
      <c r="C146" s="3" t="s">
        <v>907</v>
      </c>
      <c r="D146" s="3" t="s">
        <v>908</v>
      </c>
      <c r="E146" s="3" t="s">
        <v>6262</v>
      </c>
      <c r="F146" s="3" t="s">
        <v>6263</v>
      </c>
    </row>
    <row r="147" spans="1:6" x14ac:dyDescent="0.35">
      <c r="A147" s="5">
        <f t="shared" ca="1" si="2"/>
        <v>44706</v>
      </c>
      <c r="B147" s="3" t="s">
        <v>909</v>
      </c>
      <c r="C147" s="3" t="s">
        <v>910</v>
      </c>
      <c r="D147" s="3" t="s">
        <v>911</v>
      </c>
      <c r="E147" s="3" t="s">
        <v>6264</v>
      </c>
      <c r="F147" s="3" t="s">
        <v>6265</v>
      </c>
    </row>
    <row r="148" spans="1:6" x14ac:dyDescent="0.35">
      <c r="A148" s="5">
        <f t="shared" ca="1" si="2"/>
        <v>44707</v>
      </c>
      <c r="B148" s="3" t="s">
        <v>912</v>
      </c>
      <c r="C148" s="3" t="s">
        <v>913</v>
      </c>
      <c r="D148" s="3" t="s">
        <v>914</v>
      </c>
      <c r="E148" s="3" t="s">
        <v>6266</v>
      </c>
      <c r="F148" s="3" t="s">
        <v>6267</v>
      </c>
    </row>
    <row r="149" spans="1:6" x14ac:dyDescent="0.35">
      <c r="A149" s="5">
        <f t="shared" ca="1" si="2"/>
        <v>44708</v>
      </c>
      <c r="B149" s="3" t="s">
        <v>915</v>
      </c>
      <c r="C149" s="3" t="s">
        <v>916</v>
      </c>
      <c r="D149" s="3" t="s">
        <v>917</v>
      </c>
      <c r="E149" s="3" t="s">
        <v>6268</v>
      </c>
      <c r="F149" s="3" t="s">
        <v>6269</v>
      </c>
    </row>
    <row r="150" spans="1:6" x14ac:dyDescent="0.35">
      <c r="A150" s="5">
        <f t="shared" ca="1" si="2"/>
        <v>44709</v>
      </c>
      <c r="B150" s="3" t="s">
        <v>918</v>
      </c>
      <c r="C150" s="3" t="s">
        <v>919</v>
      </c>
      <c r="D150" s="3" t="s">
        <v>920</v>
      </c>
      <c r="E150" s="3" t="s">
        <v>6270</v>
      </c>
      <c r="F150" s="3" t="s">
        <v>6271</v>
      </c>
    </row>
    <row r="151" spans="1:6" x14ac:dyDescent="0.35">
      <c r="A151" s="5">
        <f t="shared" ca="1" si="2"/>
        <v>44710</v>
      </c>
      <c r="B151" s="3" t="s">
        <v>921</v>
      </c>
      <c r="C151" s="3" t="s">
        <v>922</v>
      </c>
      <c r="D151" s="3" t="s">
        <v>923</v>
      </c>
      <c r="E151" s="3" t="s">
        <v>6272</v>
      </c>
      <c r="F151" s="3" t="s">
        <v>6273</v>
      </c>
    </row>
    <row r="152" spans="1:6" x14ac:dyDescent="0.35">
      <c r="A152" s="5">
        <f t="shared" ca="1" si="2"/>
        <v>44711</v>
      </c>
      <c r="B152" s="3" t="s">
        <v>924</v>
      </c>
      <c r="C152" s="3" t="s">
        <v>925</v>
      </c>
      <c r="D152" s="3" t="s">
        <v>926</v>
      </c>
      <c r="E152" s="3" t="s">
        <v>6274</v>
      </c>
      <c r="F152" s="3" t="s">
        <v>6275</v>
      </c>
    </row>
    <row r="153" spans="1:6" x14ac:dyDescent="0.35">
      <c r="A153" s="5">
        <f t="shared" ca="1" si="2"/>
        <v>44712</v>
      </c>
      <c r="B153" s="3" t="s">
        <v>927</v>
      </c>
      <c r="C153" s="3" t="s">
        <v>928</v>
      </c>
      <c r="D153" s="3" t="s">
        <v>929</v>
      </c>
      <c r="E153" s="3" t="s">
        <v>6276</v>
      </c>
      <c r="F153" s="3" t="s">
        <v>6277</v>
      </c>
    </row>
    <row r="154" spans="1:6" x14ac:dyDescent="0.35">
      <c r="A154" s="5">
        <f t="shared" ca="1" si="2"/>
        <v>44713</v>
      </c>
      <c r="B154" s="3" t="s">
        <v>930</v>
      </c>
      <c r="C154" s="3" t="s">
        <v>931</v>
      </c>
      <c r="D154" s="3" t="s">
        <v>932</v>
      </c>
      <c r="E154" s="3" t="s">
        <v>6278</v>
      </c>
      <c r="F154" s="3" t="s">
        <v>6279</v>
      </c>
    </row>
    <row r="155" spans="1:6" x14ac:dyDescent="0.35">
      <c r="A155" s="5">
        <f t="shared" ca="1" si="2"/>
        <v>44714</v>
      </c>
      <c r="B155" s="3" t="s">
        <v>933</v>
      </c>
      <c r="C155" s="3" t="s">
        <v>934</v>
      </c>
      <c r="D155" s="3" t="s">
        <v>935</v>
      </c>
      <c r="E155" s="3" t="s">
        <v>6280</v>
      </c>
      <c r="F155" s="3" t="s">
        <v>6281</v>
      </c>
    </row>
    <row r="156" spans="1:6" x14ac:dyDescent="0.35">
      <c r="A156" s="5">
        <f t="shared" ca="1" si="2"/>
        <v>44715</v>
      </c>
      <c r="B156" s="3" t="s">
        <v>936</v>
      </c>
      <c r="C156" s="3" t="s">
        <v>937</v>
      </c>
      <c r="D156" s="3" t="s">
        <v>938</v>
      </c>
      <c r="E156" s="3" t="s">
        <v>6282</v>
      </c>
      <c r="F156" s="3" t="s">
        <v>6283</v>
      </c>
    </row>
    <row r="157" spans="1:6" x14ac:dyDescent="0.35">
      <c r="A157" s="5">
        <f t="shared" ca="1" si="2"/>
        <v>44716</v>
      </c>
      <c r="B157" s="3" t="s">
        <v>939</v>
      </c>
      <c r="C157" s="3" t="s">
        <v>940</v>
      </c>
      <c r="D157" s="3" t="s">
        <v>941</v>
      </c>
      <c r="E157" s="3" t="s">
        <v>6284</v>
      </c>
      <c r="F157" s="3" t="s">
        <v>6285</v>
      </c>
    </row>
    <row r="158" spans="1:6" x14ac:dyDescent="0.35">
      <c r="A158" s="5">
        <f t="shared" ca="1" si="2"/>
        <v>44717</v>
      </c>
      <c r="B158" s="3" t="s">
        <v>942</v>
      </c>
      <c r="C158" s="3" t="s">
        <v>943</v>
      </c>
      <c r="D158" s="3" t="s">
        <v>944</v>
      </c>
      <c r="E158" s="3" t="s">
        <v>6286</v>
      </c>
      <c r="F158" s="3" t="s">
        <v>6287</v>
      </c>
    </row>
    <row r="159" spans="1:6" x14ac:dyDescent="0.35">
      <c r="A159" s="5">
        <f t="shared" ca="1" si="2"/>
        <v>44718</v>
      </c>
      <c r="B159" s="3" t="s">
        <v>945</v>
      </c>
      <c r="C159" s="3" t="s">
        <v>946</v>
      </c>
      <c r="D159" s="3" t="s">
        <v>947</v>
      </c>
      <c r="E159" s="3" t="s">
        <v>6288</v>
      </c>
      <c r="F159" s="3" t="s">
        <v>6289</v>
      </c>
    </row>
    <row r="160" spans="1:6" x14ac:dyDescent="0.35">
      <c r="A160" s="5">
        <f t="shared" ca="1" si="2"/>
        <v>44719</v>
      </c>
      <c r="B160" s="3" t="s">
        <v>948</v>
      </c>
      <c r="C160" s="3" t="s">
        <v>949</v>
      </c>
      <c r="D160" s="3" t="s">
        <v>950</v>
      </c>
      <c r="E160" s="3" t="s">
        <v>6290</v>
      </c>
      <c r="F160" s="3" t="s">
        <v>6291</v>
      </c>
    </row>
    <row r="161" spans="1:6" x14ac:dyDescent="0.35">
      <c r="A161" s="5">
        <f t="shared" ca="1" si="2"/>
        <v>44720</v>
      </c>
      <c r="B161" s="3" t="s">
        <v>951</v>
      </c>
      <c r="C161" s="3" t="s">
        <v>952</v>
      </c>
      <c r="D161" s="3" t="s">
        <v>953</v>
      </c>
      <c r="E161" s="3" t="s">
        <v>6292</v>
      </c>
      <c r="F161" s="3" t="s">
        <v>6293</v>
      </c>
    </row>
    <row r="162" spans="1:6" x14ac:dyDescent="0.35">
      <c r="A162" s="5">
        <f t="shared" ca="1" si="2"/>
        <v>44721</v>
      </c>
      <c r="B162" s="3" t="s">
        <v>954</v>
      </c>
      <c r="C162" s="3" t="s">
        <v>955</v>
      </c>
      <c r="D162" s="3" t="s">
        <v>956</v>
      </c>
      <c r="E162" s="3" t="s">
        <v>6294</v>
      </c>
      <c r="F162" s="3" t="s">
        <v>6295</v>
      </c>
    </row>
    <row r="163" spans="1:6" x14ac:dyDescent="0.35">
      <c r="A163" s="5">
        <f t="shared" ca="1" si="2"/>
        <v>44722</v>
      </c>
      <c r="B163" s="3" t="s">
        <v>957</v>
      </c>
      <c r="C163" s="3" t="s">
        <v>958</v>
      </c>
      <c r="D163" s="3" t="s">
        <v>959</v>
      </c>
      <c r="E163" s="3" t="s">
        <v>6296</v>
      </c>
      <c r="F163" s="3" t="s">
        <v>6297</v>
      </c>
    </row>
    <row r="164" spans="1:6" x14ac:dyDescent="0.35">
      <c r="A164" s="5">
        <f t="shared" ca="1" si="2"/>
        <v>44723</v>
      </c>
      <c r="B164" s="3" t="s">
        <v>960</v>
      </c>
      <c r="C164" s="3" t="s">
        <v>961</v>
      </c>
      <c r="D164" s="3" t="s">
        <v>962</v>
      </c>
      <c r="E164" s="3" t="s">
        <v>6298</v>
      </c>
      <c r="F164" s="3" t="s">
        <v>6299</v>
      </c>
    </row>
    <row r="165" spans="1:6" x14ac:dyDescent="0.35">
      <c r="A165" s="5">
        <f t="shared" ca="1" si="2"/>
        <v>44724</v>
      </c>
      <c r="B165" s="3" t="s">
        <v>963</v>
      </c>
      <c r="C165" s="3" t="s">
        <v>964</v>
      </c>
      <c r="D165" s="3" t="s">
        <v>965</v>
      </c>
      <c r="E165" s="3" t="s">
        <v>6300</v>
      </c>
      <c r="F165" s="3" t="s">
        <v>6301</v>
      </c>
    </row>
    <row r="166" spans="1:6" x14ac:dyDescent="0.35">
      <c r="A166" s="5">
        <f t="shared" ca="1" si="2"/>
        <v>44725</v>
      </c>
      <c r="B166" s="3" t="s">
        <v>966</v>
      </c>
      <c r="C166" s="3" t="s">
        <v>967</v>
      </c>
      <c r="D166" s="3" t="s">
        <v>968</v>
      </c>
      <c r="E166" s="3" t="s">
        <v>6302</v>
      </c>
      <c r="F166" s="3" t="s">
        <v>6303</v>
      </c>
    </row>
    <row r="167" spans="1:6" x14ac:dyDescent="0.35">
      <c r="A167" s="5">
        <f t="shared" ca="1" si="2"/>
        <v>44726</v>
      </c>
      <c r="B167" s="3" t="s">
        <v>969</v>
      </c>
      <c r="C167" s="3" t="s">
        <v>970</v>
      </c>
      <c r="D167" s="3" t="s">
        <v>971</v>
      </c>
      <c r="E167" s="3" t="s">
        <v>6304</v>
      </c>
      <c r="F167" s="3" t="s">
        <v>6305</v>
      </c>
    </row>
    <row r="168" spans="1:6" x14ac:dyDescent="0.35">
      <c r="A168" s="5">
        <f t="shared" ca="1" si="2"/>
        <v>44727</v>
      </c>
      <c r="B168" s="3" t="s">
        <v>972</v>
      </c>
      <c r="C168" s="3" t="s">
        <v>973</v>
      </c>
      <c r="D168" s="3" t="s">
        <v>974</v>
      </c>
      <c r="E168" s="3" t="s">
        <v>6306</v>
      </c>
      <c r="F168" s="3" t="s">
        <v>6307</v>
      </c>
    </row>
    <row r="169" spans="1:6" x14ac:dyDescent="0.35">
      <c r="A169" s="5">
        <f t="shared" ca="1" si="2"/>
        <v>44728</v>
      </c>
      <c r="B169" s="3" t="s">
        <v>975</v>
      </c>
      <c r="C169" s="3" t="s">
        <v>976</v>
      </c>
      <c r="D169" s="3" t="s">
        <v>977</v>
      </c>
      <c r="E169" s="3" t="s">
        <v>6308</v>
      </c>
      <c r="F169" s="3" t="s">
        <v>6309</v>
      </c>
    </row>
    <row r="170" spans="1:6" x14ac:dyDescent="0.35">
      <c r="A170" s="5">
        <f t="shared" ca="1" si="2"/>
        <v>44729</v>
      </c>
      <c r="B170" s="3" t="s">
        <v>978</v>
      </c>
      <c r="C170" s="3" t="s">
        <v>979</v>
      </c>
      <c r="D170" s="3" t="s">
        <v>980</v>
      </c>
      <c r="E170" s="3" t="s">
        <v>6310</v>
      </c>
      <c r="F170" s="3" t="s">
        <v>6311</v>
      </c>
    </row>
    <row r="171" spans="1:6" x14ac:dyDescent="0.35">
      <c r="A171" s="5">
        <f t="shared" ca="1" si="2"/>
        <v>44730</v>
      </c>
      <c r="B171" s="3" t="s">
        <v>981</v>
      </c>
      <c r="C171" s="3" t="s">
        <v>982</v>
      </c>
      <c r="D171" s="3" t="s">
        <v>983</v>
      </c>
      <c r="E171" s="3" t="s">
        <v>6312</v>
      </c>
      <c r="F171" s="3" t="s">
        <v>6313</v>
      </c>
    </row>
    <row r="172" spans="1:6" x14ac:dyDescent="0.35">
      <c r="A172" s="5">
        <f t="shared" ca="1" si="2"/>
        <v>44731</v>
      </c>
      <c r="B172" s="3" t="s">
        <v>984</v>
      </c>
      <c r="C172" s="3" t="s">
        <v>985</v>
      </c>
      <c r="D172" s="3" t="s">
        <v>986</v>
      </c>
      <c r="E172" s="3" t="s">
        <v>6314</v>
      </c>
      <c r="F172" s="3" t="s">
        <v>6315</v>
      </c>
    </row>
    <row r="173" spans="1:6" x14ac:dyDescent="0.35">
      <c r="A173" s="5">
        <f t="shared" ca="1" si="2"/>
        <v>44732</v>
      </c>
      <c r="B173" s="3" t="s">
        <v>987</v>
      </c>
      <c r="C173" s="3" t="s">
        <v>988</v>
      </c>
      <c r="D173" s="3" t="s">
        <v>989</v>
      </c>
      <c r="E173" s="3" t="s">
        <v>6316</v>
      </c>
      <c r="F173" s="3" t="s">
        <v>6317</v>
      </c>
    </row>
    <row r="174" spans="1:6" x14ac:dyDescent="0.35">
      <c r="A174" s="5">
        <f t="shared" ca="1" si="2"/>
        <v>44733</v>
      </c>
      <c r="B174" s="3" t="s">
        <v>990</v>
      </c>
      <c r="C174" s="3" t="s">
        <v>991</v>
      </c>
      <c r="D174" s="3" t="s">
        <v>992</v>
      </c>
      <c r="E174" s="3" t="s">
        <v>6318</v>
      </c>
      <c r="F174" s="3" t="s">
        <v>6319</v>
      </c>
    </row>
    <row r="175" spans="1:6" x14ac:dyDescent="0.35">
      <c r="A175" s="5">
        <f t="shared" ca="1" si="2"/>
        <v>44734</v>
      </c>
      <c r="B175" s="3" t="s">
        <v>993</v>
      </c>
      <c r="C175" s="3" t="s">
        <v>994</v>
      </c>
      <c r="D175" s="3" t="s">
        <v>995</v>
      </c>
      <c r="E175" s="3" t="s">
        <v>6320</v>
      </c>
      <c r="F175" s="3" t="s">
        <v>6321</v>
      </c>
    </row>
    <row r="176" spans="1:6" x14ac:dyDescent="0.35">
      <c r="A176" s="5">
        <f t="shared" ca="1" si="2"/>
        <v>44735</v>
      </c>
      <c r="B176" s="3" t="s">
        <v>996</v>
      </c>
      <c r="C176" s="3" t="s">
        <v>997</v>
      </c>
      <c r="D176" s="3" t="s">
        <v>998</v>
      </c>
      <c r="E176" s="3" t="s">
        <v>6322</v>
      </c>
      <c r="F176" s="3" t="s">
        <v>6323</v>
      </c>
    </row>
    <row r="177" spans="1:6" x14ac:dyDescent="0.35">
      <c r="A177" s="5">
        <f t="shared" ca="1" si="2"/>
        <v>44736</v>
      </c>
      <c r="B177" s="3" t="s">
        <v>999</v>
      </c>
      <c r="C177" s="3" t="s">
        <v>1000</v>
      </c>
      <c r="D177" s="3" t="s">
        <v>1001</v>
      </c>
      <c r="E177" s="3" t="s">
        <v>6324</v>
      </c>
      <c r="F177" s="3" t="s">
        <v>6325</v>
      </c>
    </row>
    <row r="178" spans="1:6" x14ac:dyDescent="0.35">
      <c r="A178" s="5">
        <f t="shared" ca="1" si="2"/>
        <v>44737</v>
      </c>
      <c r="B178" s="3" t="s">
        <v>1002</v>
      </c>
      <c r="C178" s="3" t="s">
        <v>1003</v>
      </c>
      <c r="D178" s="3" t="s">
        <v>1004</v>
      </c>
      <c r="E178" s="3" t="s">
        <v>6326</v>
      </c>
      <c r="F178" s="3" t="s">
        <v>6327</v>
      </c>
    </row>
    <row r="179" spans="1:6" x14ac:dyDescent="0.35">
      <c r="A179" s="5">
        <f t="shared" ca="1" si="2"/>
        <v>44738</v>
      </c>
      <c r="B179" s="3" t="s">
        <v>1005</v>
      </c>
      <c r="C179" s="3" t="s">
        <v>1006</v>
      </c>
      <c r="D179" s="3" t="s">
        <v>1007</v>
      </c>
      <c r="E179" s="3" t="s">
        <v>6328</v>
      </c>
      <c r="F179" s="3" t="s">
        <v>6329</v>
      </c>
    </row>
    <row r="180" spans="1:6" x14ac:dyDescent="0.35">
      <c r="A180" s="5">
        <f t="shared" ca="1" si="2"/>
        <v>44739</v>
      </c>
      <c r="B180" s="3" t="s">
        <v>1008</v>
      </c>
      <c r="C180" s="3" t="s">
        <v>1009</v>
      </c>
      <c r="D180" s="3" t="s">
        <v>1010</v>
      </c>
      <c r="E180" s="3" t="s">
        <v>6330</v>
      </c>
      <c r="F180" s="3" t="s">
        <v>6331</v>
      </c>
    </row>
    <row r="181" spans="1:6" x14ac:dyDescent="0.35">
      <c r="A181" s="5">
        <f t="shared" ca="1" si="2"/>
        <v>44740</v>
      </c>
      <c r="B181" s="3" t="s">
        <v>1011</v>
      </c>
      <c r="C181" s="3" t="s">
        <v>1012</v>
      </c>
      <c r="D181" s="3" t="s">
        <v>1013</v>
      </c>
      <c r="E181" s="3" t="s">
        <v>6332</v>
      </c>
      <c r="F181" s="3" t="s">
        <v>6333</v>
      </c>
    </row>
    <row r="182" spans="1:6" x14ac:dyDescent="0.35">
      <c r="A182" s="5">
        <f t="shared" ca="1" si="2"/>
        <v>44741</v>
      </c>
      <c r="B182" s="3" t="s">
        <v>1014</v>
      </c>
      <c r="C182" s="3" t="s">
        <v>1015</v>
      </c>
      <c r="D182" s="3" t="s">
        <v>1016</v>
      </c>
      <c r="E182" s="3" t="s">
        <v>6334</v>
      </c>
      <c r="F182" s="3" t="s">
        <v>6335</v>
      </c>
    </row>
    <row r="183" spans="1:6" x14ac:dyDescent="0.35">
      <c r="A183" s="5">
        <f t="shared" ca="1" si="2"/>
        <v>44742</v>
      </c>
      <c r="B183" s="3" t="s">
        <v>1017</v>
      </c>
      <c r="C183" s="3" t="s">
        <v>1018</v>
      </c>
      <c r="D183" s="3" t="s">
        <v>1019</v>
      </c>
      <c r="E183" s="3" t="s">
        <v>6336</v>
      </c>
      <c r="F183" s="3" t="s">
        <v>6337</v>
      </c>
    </row>
    <row r="184" spans="1:6" x14ac:dyDescent="0.35">
      <c r="A184" s="5">
        <f t="shared" ca="1" si="2"/>
        <v>44743</v>
      </c>
      <c r="B184" s="3" t="s">
        <v>1020</v>
      </c>
      <c r="C184" s="3" t="s">
        <v>1021</v>
      </c>
      <c r="D184" s="3" t="s">
        <v>1022</v>
      </c>
      <c r="E184" s="3" t="s">
        <v>6338</v>
      </c>
      <c r="F184" s="3" t="s">
        <v>6339</v>
      </c>
    </row>
    <row r="185" spans="1:6" x14ac:dyDescent="0.35">
      <c r="A185" s="5">
        <f t="shared" ca="1" si="2"/>
        <v>44744</v>
      </c>
      <c r="B185" s="3" t="s">
        <v>1023</v>
      </c>
      <c r="C185" s="3" t="s">
        <v>1024</v>
      </c>
      <c r="D185" s="3" t="s">
        <v>1025</v>
      </c>
      <c r="E185" s="3" t="s">
        <v>6340</v>
      </c>
      <c r="F185" s="3" t="s">
        <v>6341</v>
      </c>
    </row>
    <row r="186" spans="1:6" x14ac:dyDescent="0.35">
      <c r="A186" s="5">
        <f t="shared" ca="1" si="2"/>
        <v>44745</v>
      </c>
      <c r="B186" s="3" t="s">
        <v>1026</v>
      </c>
      <c r="C186" s="3" t="s">
        <v>1027</v>
      </c>
      <c r="D186" s="3" t="s">
        <v>1028</v>
      </c>
      <c r="E186" s="3" t="s">
        <v>6342</v>
      </c>
      <c r="F186" s="3" t="s">
        <v>6343</v>
      </c>
    </row>
    <row r="187" spans="1:6" x14ac:dyDescent="0.35">
      <c r="A187" s="5">
        <f t="shared" ca="1" si="2"/>
        <v>44746</v>
      </c>
      <c r="B187" s="3" t="s">
        <v>1029</v>
      </c>
      <c r="C187" s="3" t="s">
        <v>1030</v>
      </c>
      <c r="D187" s="3" t="s">
        <v>1031</v>
      </c>
      <c r="E187" s="3" t="s">
        <v>6344</v>
      </c>
      <c r="F187" s="3" t="s">
        <v>6345</v>
      </c>
    </row>
    <row r="188" spans="1:6" x14ac:dyDescent="0.35">
      <c r="A188" s="5">
        <f t="shared" ca="1" si="2"/>
        <v>44747</v>
      </c>
      <c r="B188" s="3" t="s">
        <v>1032</v>
      </c>
      <c r="C188" s="3" t="s">
        <v>1033</v>
      </c>
      <c r="D188" s="3" t="s">
        <v>1034</v>
      </c>
      <c r="E188" s="3" t="s">
        <v>6346</v>
      </c>
      <c r="F188" s="3" t="s">
        <v>6347</v>
      </c>
    </row>
    <row r="189" spans="1:6" x14ac:dyDescent="0.35">
      <c r="A189" s="5">
        <f t="shared" ca="1" si="2"/>
        <v>44748</v>
      </c>
      <c r="B189" s="3" t="s">
        <v>1035</v>
      </c>
      <c r="C189" s="3" t="s">
        <v>1036</v>
      </c>
      <c r="D189" s="3" t="s">
        <v>1037</v>
      </c>
      <c r="E189" s="3" t="s">
        <v>6348</v>
      </c>
      <c r="F189" s="3" t="s">
        <v>6349</v>
      </c>
    </row>
    <row r="190" spans="1:6" x14ac:dyDescent="0.35">
      <c r="A190" s="5">
        <f t="shared" ca="1" si="2"/>
        <v>44749</v>
      </c>
      <c r="B190" s="3" t="s">
        <v>1038</v>
      </c>
      <c r="C190" s="3" t="s">
        <v>1039</v>
      </c>
      <c r="D190" s="3" t="s">
        <v>1040</v>
      </c>
      <c r="E190" s="3" t="s">
        <v>6350</v>
      </c>
      <c r="F190" s="3" t="s">
        <v>6351</v>
      </c>
    </row>
    <row r="191" spans="1:6" x14ac:dyDescent="0.35">
      <c r="A191" s="5">
        <f t="shared" ca="1" si="2"/>
        <v>44750</v>
      </c>
      <c r="B191" s="3" t="s">
        <v>1041</v>
      </c>
      <c r="C191" s="3" t="s">
        <v>1042</v>
      </c>
      <c r="D191" s="3" t="s">
        <v>1043</v>
      </c>
      <c r="E191" s="3" t="s">
        <v>6352</v>
      </c>
      <c r="F191" s="3" t="s">
        <v>6353</v>
      </c>
    </row>
    <row r="192" spans="1:6" x14ac:dyDescent="0.35">
      <c r="A192" s="5">
        <f t="shared" ca="1" si="2"/>
        <v>44751</v>
      </c>
      <c r="B192" s="3" t="s">
        <v>1044</v>
      </c>
      <c r="C192" s="3" t="s">
        <v>1045</v>
      </c>
      <c r="D192" s="3" t="s">
        <v>1046</v>
      </c>
      <c r="E192" s="3" t="s">
        <v>6354</v>
      </c>
      <c r="F192" s="3" t="s">
        <v>6355</v>
      </c>
    </row>
    <row r="193" spans="1:6" x14ac:dyDescent="0.35">
      <c r="A193" s="5">
        <f t="shared" ca="1" si="2"/>
        <v>44752</v>
      </c>
      <c r="B193" s="3" t="s">
        <v>1047</v>
      </c>
      <c r="C193" s="3" t="s">
        <v>1048</v>
      </c>
      <c r="D193" s="3" t="s">
        <v>1049</v>
      </c>
      <c r="E193" s="3" t="s">
        <v>6356</v>
      </c>
      <c r="F193" s="3" t="s">
        <v>6357</v>
      </c>
    </row>
    <row r="194" spans="1:6" x14ac:dyDescent="0.35">
      <c r="A194" s="5">
        <f t="shared" ca="1" si="2"/>
        <v>44753</v>
      </c>
      <c r="B194" s="3" t="s">
        <v>1050</v>
      </c>
      <c r="C194" s="3" t="s">
        <v>1051</v>
      </c>
      <c r="D194" s="3" t="s">
        <v>1052</v>
      </c>
      <c r="E194" s="3" t="s">
        <v>6358</v>
      </c>
      <c r="F194" s="3" t="s">
        <v>6359</v>
      </c>
    </row>
    <row r="195" spans="1:6" x14ac:dyDescent="0.35">
      <c r="A195" s="5">
        <f t="shared" ca="1" si="2"/>
        <v>44754</v>
      </c>
      <c r="B195" s="3" t="s">
        <v>1053</v>
      </c>
      <c r="C195" s="3" t="s">
        <v>1054</v>
      </c>
      <c r="D195" s="3" t="s">
        <v>1055</v>
      </c>
      <c r="E195" s="3" t="s">
        <v>6360</v>
      </c>
      <c r="F195" s="3" t="s">
        <v>6361</v>
      </c>
    </row>
    <row r="196" spans="1:6" x14ac:dyDescent="0.35">
      <c r="A196" s="5">
        <f t="shared" ca="1" si="2"/>
        <v>44755</v>
      </c>
      <c r="B196" s="3" t="s">
        <v>1056</v>
      </c>
      <c r="C196" s="3" t="s">
        <v>1057</v>
      </c>
      <c r="D196" s="3" t="s">
        <v>1058</v>
      </c>
      <c r="E196" s="3" t="s">
        <v>6362</v>
      </c>
      <c r="F196" s="3" t="s">
        <v>6363</v>
      </c>
    </row>
    <row r="197" spans="1:6" x14ac:dyDescent="0.35">
      <c r="A197" s="5">
        <f t="shared" ref="A197:A260" ca="1" si="3">A196+1</f>
        <v>44756</v>
      </c>
      <c r="B197" s="3" t="s">
        <v>1059</v>
      </c>
      <c r="C197" s="3" t="s">
        <v>1060</v>
      </c>
      <c r="D197" s="3" t="s">
        <v>1061</v>
      </c>
      <c r="E197" s="3" t="s">
        <v>6364</v>
      </c>
      <c r="F197" s="3" t="s">
        <v>6365</v>
      </c>
    </row>
    <row r="198" spans="1:6" x14ac:dyDescent="0.35">
      <c r="A198" s="5">
        <f t="shared" ca="1" si="3"/>
        <v>44757</v>
      </c>
      <c r="B198" s="3" t="s">
        <v>1062</v>
      </c>
      <c r="C198" s="3" t="s">
        <v>1063</v>
      </c>
      <c r="D198" s="3" t="s">
        <v>1064</v>
      </c>
      <c r="E198" s="3" t="s">
        <v>6366</v>
      </c>
      <c r="F198" s="3" t="s">
        <v>6367</v>
      </c>
    </row>
    <row r="199" spans="1:6" x14ac:dyDescent="0.35">
      <c r="A199" s="5">
        <f t="shared" ca="1" si="3"/>
        <v>44758</v>
      </c>
      <c r="B199" s="3" t="s">
        <v>1065</v>
      </c>
      <c r="C199" s="3" t="s">
        <v>1066</v>
      </c>
      <c r="D199" s="3" t="s">
        <v>1067</v>
      </c>
      <c r="E199" s="3" t="s">
        <v>6368</v>
      </c>
      <c r="F199" s="3" t="s">
        <v>6369</v>
      </c>
    </row>
    <row r="200" spans="1:6" x14ac:dyDescent="0.35">
      <c r="A200" s="5">
        <f t="shared" ca="1" si="3"/>
        <v>44759</v>
      </c>
      <c r="B200" s="3" t="s">
        <v>1068</v>
      </c>
      <c r="C200" s="3" t="s">
        <v>1069</v>
      </c>
      <c r="D200" s="3" t="s">
        <v>1070</v>
      </c>
      <c r="E200" s="3" t="s">
        <v>6370</v>
      </c>
      <c r="F200" s="3" t="s">
        <v>6371</v>
      </c>
    </row>
    <row r="201" spans="1:6" x14ac:dyDescent="0.35">
      <c r="A201" s="5">
        <f t="shared" ca="1" si="3"/>
        <v>44760</v>
      </c>
      <c r="B201" s="3" t="s">
        <v>1071</v>
      </c>
      <c r="C201" s="3" t="s">
        <v>1072</v>
      </c>
      <c r="D201" s="3" t="s">
        <v>1073</v>
      </c>
      <c r="E201" s="3" t="s">
        <v>6372</v>
      </c>
      <c r="F201" s="3" t="s">
        <v>6373</v>
      </c>
    </row>
    <row r="202" spans="1:6" x14ac:dyDescent="0.35">
      <c r="A202" s="5">
        <f t="shared" ca="1" si="3"/>
        <v>44761</v>
      </c>
      <c r="B202" s="3" t="s">
        <v>1074</v>
      </c>
      <c r="C202" s="3" t="s">
        <v>1075</v>
      </c>
      <c r="D202" s="3" t="s">
        <v>1076</v>
      </c>
      <c r="E202" s="3" t="s">
        <v>6374</v>
      </c>
      <c r="F202" s="3" t="s">
        <v>6375</v>
      </c>
    </row>
    <row r="203" spans="1:6" x14ac:dyDescent="0.35">
      <c r="A203" s="5">
        <f t="shared" ca="1" si="3"/>
        <v>44762</v>
      </c>
      <c r="B203" s="3" t="s">
        <v>1077</v>
      </c>
      <c r="C203" s="3" t="s">
        <v>1078</v>
      </c>
      <c r="D203" s="3" t="s">
        <v>1079</v>
      </c>
      <c r="E203" s="3" t="s">
        <v>6376</v>
      </c>
      <c r="F203" s="3" t="s">
        <v>6377</v>
      </c>
    </row>
    <row r="204" spans="1:6" x14ac:dyDescent="0.35">
      <c r="A204" s="5">
        <f t="shared" ca="1" si="3"/>
        <v>44763</v>
      </c>
      <c r="B204" s="3" t="s">
        <v>1080</v>
      </c>
      <c r="C204" s="3" t="s">
        <v>1081</v>
      </c>
      <c r="D204" s="3" t="s">
        <v>1082</v>
      </c>
      <c r="E204" s="3" t="s">
        <v>6378</v>
      </c>
      <c r="F204" s="3" t="s">
        <v>6379</v>
      </c>
    </row>
    <row r="205" spans="1:6" x14ac:dyDescent="0.35">
      <c r="A205" s="5">
        <f t="shared" ca="1" si="3"/>
        <v>44764</v>
      </c>
      <c r="B205" s="3" t="s">
        <v>1083</v>
      </c>
      <c r="C205" s="3" t="s">
        <v>1084</v>
      </c>
      <c r="D205" s="3" t="s">
        <v>1085</v>
      </c>
      <c r="E205" s="3" t="s">
        <v>6380</v>
      </c>
      <c r="F205" s="3" t="s">
        <v>6381</v>
      </c>
    </row>
    <row r="206" spans="1:6" x14ac:dyDescent="0.35">
      <c r="A206" s="5">
        <f t="shared" ca="1" si="3"/>
        <v>44765</v>
      </c>
      <c r="B206" s="3" t="s">
        <v>1086</v>
      </c>
      <c r="C206" s="3" t="s">
        <v>1087</v>
      </c>
      <c r="D206" s="3" t="s">
        <v>1088</v>
      </c>
      <c r="E206" s="3" t="s">
        <v>6382</v>
      </c>
      <c r="F206" s="3" t="s">
        <v>6383</v>
      </c>
    </row>
    <row r="207" spans="1:6" x14ac:dyDescent="0.35">
      <c r="A207" s="5">
        <f t="shared" ca="1" si="3"/>
        <v>44766</v>
      </c>
      <c r="B207" s="3" t="s">
        <v>1089</v>
      </c>
      <c r="C207" s="3" t="s">
        <v>1090</v>
      </c>
      <c r="D207" s="3" t="s">
        <v>1091</v>
      </c>
      <c r="E207" s="3" t="s">
        <v>6384</v>
      </c>
      <c r="F207" s="3" t="s">
        <v>6385</v>
      </c>
    </row>
    <row r="208" spans="1:6" x14ac:dyDescent="0.35">
      <c r="A208" s="5">
        <f t="shared" ca="1" si="3"/>
        <v>44767</v>
      </c>
      <c r="B208" s="3" t="s">
        <v>1092</v>
      </c>
      <c r="C208" s="3" t="s">
        <v>1093</v>
      </c>
      <c r="D208" s="3" t="s">
        <v>1094</v>
      </c>
      <c r="E208" s="3" t="s">
        <v>6386</v>
      </c>
      <c r="F208" s="3" t="s">
        <v>6387</v>
      </c>
    </row>
    <row r="209" spans="1:6" x14ac:dyDescent="0.35">
      <c r="A209" s="5">
        <f t="shared" ca="1" si="3"/>
        <v>44768</v>
      </c>
      <c r="B209" s="3" t="s">
        <v>1095</v>
      </c>
      <c r="C209" s="3" t="s">
        <v>1096</v>
      </c>
      <c r="D209" s="3" t="s">
        <v>1097</v>
      </c>
      <c r="E209" s="3" t="s">
        <v>6388</v>
      </c>
      <c r="F209" s="3" t="s">
        <v>6389</v>
      </c>
    </row>
    <row r="210" spans="1:6" x14ac:dyDescent="0.35">
      <c r="A210" s="5">
        <f t="shared" ca="1" si="3"/>
        <v>44769</v>
      </c>
      <c r="B210" s="3" t="s">
        <v>1098</v>
      </c>
      <c r="C210" s="3" t="s">
        <v>1099</v>
      </c>
      <c r="D210" s="3" t="s">
        <v>1100</v>
      </c>
      <c r="E210" s="3" t="s">
        <v>6390</v>
      </c>
      <c r="F210" s="3" t="s">
        <v>6391</v>
      </c>
    </row>
    <row r="211" spans="1:6" x14ac:dyDescent="0.35">
      <c r="A211" s="5">
        <f t="shared" ca="1" si="3"/>
        <v>44770</v>
      </c>
      <c r="B211" s="3" t="s">
        <v>1101</v>
      </c>
      <c r="C211" s="3" t="s">
        <v>1102</v>
      </c>
      <c r="D211" s="3" t="s">
        <v>1103</v>
      </c>
      <c r="E211" s="3" t="s">
        <v>6392</v>
      </c>
      <c r="F211" s="3" t="s">
        <v>6393</v>
      </c>
    </row>
    <row r="212" spans="1:6" x14ac:dyDescent="0.35">
      <c r="A212" s="5">
        <f t="shared" ca="1" si="3"/>
        <v>44771</v>
      </c>
      <c r="B212" s="3" t="s">
        <v>1104</v>
      </c>
      <c r="C212" s="3" t="s">
        <v>1105</v>
      </c>
      <c r="D212" s="3" t="s">
        <v>1106</v>
      </c>
      <c r="E212" s="3" t="s">
        <v>6394</v>
      </c>
      <c r="F212" s="3" t="s">
        <v>6395</v>
      </c>
    </row>
    <row r="213" spans="1:6" x14ac:dyDescent="0.35">
      <c r="A213" s="5">
        <f t="shared" ca="1" si="3"/>
        <v>44772</v>
      </c>
      <c r="B213" s="3" t="s">
        <v>1107</v>
      </c>
      <c r="C213" s="3" t="s">
        <v>1108</v>
      </c>
      <c r="D213" s="3" t="s">
        <v>1109</v>
      </c>
      <c r="E213" s="3" t="s">
        <v>6396</v>
      </c>
      <c r="F213" s="3" t="s">
        <v>6397</v>
      </c>
    </row>
    <row r="214" spans="1:6" x14ac:dyDescent="0.35">
      <c r="A214" s="5">
        <f t="shared" ca="1" si="3"/>
        <v>44773</v>
      </c>
      <c r="B214" s="3" t="s">
        <v>1110</v>
      </c>
      <c r="C214" s="3" t="s">
        <v>1111</v>
      </c>
      <c r="D214" s="3" t="s">
        <v>1112</v>
      </c>
      <c r="E214" s="3" t="s">
        <v>6398</v>
      </c>
      <c r="F214" s="3" t="s">
        <v>6399</v>
      </c>
    </row>
    <row r="215" spans="1:6" x14ac:dyDescent="0.35">
      <c r="A215" s="5">
        <f t="shared" ca="1" si="3"/>
        <v>44774</v>
      </c>
      <c r="B215" s="3" t="s">
        <v>1113</v>
      </c>
      <c r="C215" s="3" t="s">
        <v>1114</v>
      </c>
      <c r="D215" s="3" t="s">
        <v>1115</v>
      </c>
      <c r="E215" s="3" t="s">
        <v>6400</v>
      </c>
      <c r="F215" s="3" t="s">
        <v>6401</v>
      </c>
    </row>
    <row r="216" spans="1:6" x14ac:dyDescent="0.35">
      <c r="A216" s="5">
        <f t="shared" ca="1" si="3"/>
        <v>44775</v>
      </c>
      <c r="B216" s="3" t="s">
        <v>1116</v>
      </c>
      <c r="C216" s="3" t="s">
        <v>1117</v>
      </c>
      <c r="D216" s="3" t="s">
        <v>1118</v>
      </c>
      <c r="E216" s="3" t="s">
        <v>6402</v>
      </c>
      <c r="F216" s="3" t="s">
        <v>6403</v>
      </c>
    </row>
    <row r="217" spans="1:6" x14ac:dyDescent="0.35">
      <c r="A217" s="5">
        <f t="shared" ca="1" si="3"/>
        <v>44776</v>
      </c>
      <c r="B217" s="3" t="s">
        <v>1119</v>
      </c>
      <c r="C217" s="3" t="s">
        <v>1120</v>
      </c>
      <c r="D217" s="3" t="s">
        <v>1121</v>
      </c>
      <c r="E217" s="3" t="s">
        <v>6404</v>
      </c>
      <c r="F217" s="3" t="s">
        <v>6405</v>
      </c>
    </row>
    <row r="218" spans="1:6" x14ac:dyDescent="0.35">
      <c r="A218" s="5">
        <f t="shared" ca="1" si="3"/>
        <v>44777</v>
      </c>
      <c r="B218" s="3" t="s">
        <v>1122</v>
      </c>
      <c r="C218" s="3" t="s">
        <v>1123</v>
      </c>
      <c r="D218" s="3" t="s">
        <v>1124</v>
      </c>
      <c r="E218" s="3" t="s">
        <v>6406</v>
      </c>
      <c r="F218" s="3" t="s">
        <v>6407</v>
      </c>
    </row>
    <row r="219" spans="1:6" x14ac:dyDescent="0.35">
      <c r="A219" s="5">
        <f t="shared" ca="1" si="3"/>
        <v>44778</v>
      </c>
      <c r="B219" s="3" t="s">
        <v>1125</v>
      </c>
      <c r="C219" s="3" t="s">
        <v>1126</v>
      </c>
      <c r="D219" s="3" t="s">
        <v>1127</v>
      </c>
      <c r="E219" s="3" t="s">
        <v>6408</v>
      </c>
      <c r="F219" s="3" t="s">
        <v>6409</v>
      </c>
    </row>
    <row r="220" spans="1:6" x14ac:dyDescent="0.35">
      <c r="A220" s="5">
        <f t="shared" ca="1" si="3"/>
        <v>44779</v>
      </c>
      <c r="B220" s="3" t="s">
        <v>1128</v>
      </c>
      <c r="C220" s="3" t="s">
        <v>1129</v>
      </c>
      <c r="D220" s="3" t="s">
        <v>1130</v>
      </c>
      <c r="E220" s="3" t="s">
        <v>6410</v>
      </c>
      <c r="F220" s="3" t="s">
        <v>6411</v>
      </c>
    </row>
    <row r="221" spans="1:6" x14ac:dyDescent="0.35">
      <c r="A221" s="5">
        <f t="shared" ca="1" si="3"/>
        <v>44780</v>
      </c>
      <c r="B221" s="3" t="s">
        <v>1131</v>
      </c>
      <c r="C221" s="3" t="s">
        <v>1132</v>
      </c>
      <c r="D221" s="3" t="s">
        <v>1133</v>
      </c>
      <c r="E221" s="3" t="s">
        <v>6412</v>
      </c>
      <c r="F221" s="3" t="s">
        <v>6413</v>
      </c>
    </row>
    <row r="222" spans="1:6" x14ac:dyDescent="0.35">
      <c r="A222" s="5">
        <f t="shared" ca="1" si="3"/>
        <v>44781</v>
      </c>
      <c r="B222" s="3" t="s">
        <v>1134</v>
      </c>
      <c r="C222" s="3" t="s">
        <v>1135</v>
      </c>
      <c r="D222" s="3" t="s">
        <v>1136</v>
      </c>
      <c r="E222" s="3" t="s">
        <v>6414</v>
      </c>
      <c r="F222" s="3" t="s">
        <v>6415</v>
      </c>
    </row>
    <row r="223" spans="1:6" x14ac:dyDescent="0.35">
      <c r="A223" s="5">
        <f t="shared" ca="1" si="3"/>
        <v>44782</v>
      </c>
      <c r="B223" s="3" t="s">
        <v>1137</v>
      </c>
      <c r="C223" s="3" t="s">
        <v>1138</v>
      </c>
      <c r="D223" s="3" t="s">
        <v>1139</v>
      </c>
      <c r="E223" s="3" t="s">
        <v>6416</v>
      </c>
      <c r="F223" s="3" t="s">
        <v>6417</v>
      </c>
    </row>
    <row r="224" spans="1:6" x14ac:dyDescent="0.35">
      <c r="A224" s="5">
        <f t="shared" ca="1" si="3"/>
        <v>44783</v>
      </c>
      <c r="B224" s="3" t="s">
        <v>1140</v>
      </c>
      <c r="C224" s="3" t="s">
        <v>1141</v>
      </c>
      <c r="D224" s="3" t="s">
        <v>1142</v>
      </c>
      <c r="E224" s="3" t="s">
        <v>6418</v>
      </c>
      <c r="F224" s="3" t="s">
        <v>6419</v>
      </c>
    </row>
    <row r="225" spans="1:6" x14ac:dyDescent="0.35">
      <c r="A225" s="5">
        <f t="shared" ca="1" si="3"/>
        <v>44784</v>
      </c>
      <c r="B225" s="3" t="s">
        <v>1143</v>
      </c>
      <c r="C225" s="3" t="s">
        <v>1144</v>
      </c>
      <c r="D225" s="3" t="s">
        <v>1145</v>
      </c>
      <c r="E225" s="3" t="s">
        <v>6420</v>
      </c>
      <c r="F225" s="3" t="s">
        <v>6421</v>
      </c>
    </row>
    <row r="226" spans="1:6" x14ac:dyDescent="0.35">
      <c r="A226" s="5">
        <f t="shared" ca="1" si="3"/>
        <v>44785</v>
      </c>
      <c r="B226" s="3" t="s">
        <v>1146</v>
      </c>
      <c r="C226" s="3" t="s">
        <v>1147</v>
      </c>
      <c r="D226" s="3" t="s">
        <v>1148</v>
      </c>
      <c r="E226" s="3" t="s">
        <v>6422</v>
      </c>
      <c r="F226" s="3" t="s">
        <v>6423</v>
      </c>
    </row>
    <row r="227" spans="1:6" x14ac:dyDescent="0.35">
      <c r="A227" s="5">
        <f t="shared" ca="1" si="3"/>
        <v>44786</v>
      </c>
      <c r="B227" s="3" t="s">
        <v>1149</v>
      </c>
      <c r="C227" s="3" t="s">
        <v>1150</v>
      </c>
      <c r="D227" s="3" t="s">
        <v>1151</v>
      </c>
      <c r="E227" s="3" t="s">
        <v>6424</v>
      </c>
      <c r="F227" s="3" t="s">
        <v>6425</v>
      </c>
    </row>
    <row r="228" spans="1:6" x14ac:dyDescent="0.35">
      <c r="A228" s="5">
        <f t="shared" ca="1" si="3"/>
        <v>44787</v>
      </c>
      <c r="B228" s="3" t="s">
        <v>1152</v>
      </c>
      <c r="C228" s="3" t="s">
        <v>1153</v>
      </c>
      <c r="D228" s="3" t="s">
        <v>1154</v>
      </c>
      <c r="E228" s="3" t="s">
        <v>6426</v>
      </c>
      <c r="F228" s="3" t="s">
        <v>6427</v>
      </c>
    </row>
    <row r="229" spans="1:6" x14ac:dyDescent="0.35">
      <c r="A229" s="5">
        <f t="shared" ca="1" si="3"/>
        <v>44788</v>
      </c>
      <c r="B229" s="3" t="s">
        <v>1155</v>
      </c>
      <c r="C229" s="3" t="s">
        <v>1156</v>
      </c>
      <c r="D229" s="3" t="s">
        <v>1157</v>
      </c>
      <c r="E229" s="3" t="s">
        <v>6428</v>
      </c>
      <c r="F229" s="3" t="s">
        <v>6429</v>
      </c>
    </row>
    <row r="230" spans="1:6" x14ac:dyDescent="0.35">
      <c r="A230" s="5">
        <f t="shared" ca="1" si="3"/>
        <v>44789</v>
      </c>
      <c r="B230" s="3" t="s">
        <v>1158</v>
      </c>
      <c r="C230" s="3" t="s">
        <v>1159</v>
      </c>
      <c r="D230" s="3" t="s">
        <v>1160</v>
      </c>
      <c r="E230" s="3" t="s">
        <v>6430</v>
      </c>
      <c r="F230" s="3" t="s">
        <v>6431</v>
      </c>
    </row>
    <row r="231" spans="1:6" x14ac:dyDescent="0.35">
      <c r="A231" s="5">
        <f t="shared" ca="1" si="3"/>
        <v>44790</v>
      </c>
      <c r="B231" s="3" t="s">
        <v>1161</v>
      </c>
      <c r="C231" s="3" t="s">
        <v>1162</v>
      </c>
      <c r="D231" s="3" t="s">
        <v>1163</v>
      </c>
      <c r="E231" s="3" t="s">
        <v>6432</v>
      </c>
      <c r="F231" s="3" t="s">
        <v>6433</v>
      </c>
    </row>
    <row r="232" spans="1:6" x14ac:dyDescent="0.35">
      <c r="A232" s="5">
        <f t="shared" ca="1" si="3"/>
        <v>44791</v>
      </c>
      <c r="B232" s="3" t="s">
        <v>1164</v>
      </c>
      <c r="C232" s="3" t="s">
        <v>1165</v>
      </c>
      <c r="D232" s="3" t="s">
        <v>1166</v>
      </c>
      <c r="E232" s="3" t="s">
        <v>6434</v>
      </c>
      <c r="F232" s="3" t="s">
        <v>6435</v>
      </c>
    </row>
    <row r="233" spans="1:6" x14ac:dyDescent="0.35">
      <c r="A233" s="5">
        <f t="shared" ca="1" si="3"/>
        <v>44792</v>
      </c>
      <c r="B233" s="3" t="s">
        <v>1167</v>
      </c>
      <c r="C233" s="3" t="s">
        <v>1168</v>
      </c>
      <c r="D233" s="3" t="s">
        <v>1169</v>
      </c>
      <c r="E233" s="3" t="s">
        <v>6436</v>
      </c>
      <c r="F233" s="3" t="s">
        <v>6437</v>
      </c>
    </row>
    <row r="234" spans="1:6" x14ac:dyDescent="0.35">
      <c r="A234" s="5">
        <f t="shared" ca="1" si="3"/>
        <v>44793</v>
      </c>
      <c r="B234" s="3" t="s">
        <v>1170</v>
      </c>
      <c r="C234" s="3" t="s">
        <v>1171</v>
      </c>
      <c r="D234" s="3" t="s">
        <v>1172</v>
      </c>
      <c r="E234" s="3" t="s">
        <v>6438</v>
      </c>
      <c r="F234" s="3" t="s">
        <v>6439</v>
      </c>
    </row>
    <row r="235" spans="1:6" x14ac:dyDescent="0.35">
      <c r="A235" s="5">
        <f t="shared" ca="1" si="3"/>
        <v>44794</v>
      </c>
      <c r="B235" s="3" t="s">
        <v>1173</v>
      </c>
      <c r="C235" s="3" t="s">
        <v>1174</v>
      </c>
      <c r="D235" s="3" t="s">
        <v>1175</v>
      </c>
      <c r="E235" s="3" t="s">
        <v>6440</v>
      </c>
      <c r="F235" s="3" t="s">
        <v>6441</v>
      </c>
    </row>
    <row r="236" spans="1:6" x14ac:dyDescent="0.35">
      <c r="A236" s="5">
        <f t="shared" ca="1" si="3"/>
        <v>44795</v>
      </c>
      <c r="B236" s="3" t="s">
        <v>1176</v>
      </c>
      <c r="C236" s="3" t="s">
        <v>1177</v>
      </c>
      <c r="D236" s="3" t="s">
        <v>1178</v>
      </c>
      <c r="E236" s="3" t="s">
        <v>6442</v>
      </c>
      <c r="F236" s="3" t="s">
        <v>6443</v>
      </c>
    </row>
    <row r="237" spans="1:6" x14ac:dyDescent="0.35">
      <c r="A237" s="5">
        <f t="shared" ca="1" si="3"/>
        <v>44796</v>
      </c>
      <c r="B237" s="3" t="s">
        <v>1179</v>
      </c>
      <c r="C237" s="3" t="s">
        <v>1180</v>
      </c>
      <c r="D237" s="3" t="s">
        <v>1181</v>
      </c>
      <c r="E237" s="3" t="s">
        <v>6444</v>
      </c>
      <c r="F237" s="3" t="s">
        <v>6445</v>
      </c>
    </row>
    <row r="238" spans="1:6" x14ac:dyDescent="0.35">
      <c r="A238" s="5">
        <f t="shared" ca="1" si="3"/>
        <v>44797</v>
      </c>
      <c r="B238" s="3" t="s">
        <v>1182</v>
      </c>
      <c r="C238" s="3" t="s">
        <v>1183</v>
      </c>
      <c r="D238" s="3" t="s">
        <v>1184</v>
      </c>
      <c r="E238" s="3" t="s">
        <v>6446</v>
      </c>
      <c r="F238" s="3" t="s">
        <v>6447</v>
      </c>
    </row>
    <row r="239" spans="1:6" x14ac:dyDescent="0.35">
      <c r="A239" s="5">
        <f t="shared" ca="1" si="3"/>
        <v>44798</v>
      </c>
      <c r="B239" s="3" t="s">
        <v>1185</v>
      </c>
      <c r="C239" s="3" t="s">
        <v>1186</v>
      </c>
      <c r="D239" s="3" t="s">
        <v>1187</v>
      </c>
      <c r="E239" s="3" t="s">
        <v>6448</v>
      </c>
      <c r="F239" s="3" t="s">
        <v>6449</v>
      </c>
    </row>
    <row r="240" spans="1:6" x14ac:dyDescent="0.35">
      <c r="A240" s="5">
        <f t="shared" ca="1" si="3"/>
        <v>44799</v>
      </c>
      <c r="B240" s="3" t="s">
        <v>1188</v>
      </c>
      <c r="C240" s="3" t="s">
        <v>1189</v>
      </c>
      <c r="D240" s="3" t="s">
        <v>1190</v>
      </c>
      <c r="E240" s="3" t="s">
        <v>6450</v>
      </c>
      <c r="F240" s="3" t="s">
        <v>6451</v>
      </c>
    </row>
    <row r="241" spans="1:6" x14ac:dyDescent="0.35">
      <c r="A241" s="5">
        <f t="shared" ca="1" si="3"/>
        <v>44800</v>
      </c>
      <c r="B241" s="3" t="s">
        <v>1191</v>
      </c>
      <c r="C241" s="3" t="s">
        <v>1192</v>
      </c>
      <c r="D241" s="3" t="s">
        <v>1193</v>
      </c>
      <c r="E241" s="3" t="s">
        <v>6452</v>
      </c>
      <c r="F241" s="3" t="s">
        <v>6453</v>
      </c>
    </row>
    <row r="242" spans="1:6" x14ac:dyDescent="0.35">
      <c r="A242" s="5">
        <f t="shared" ca="1" si="3"/>
        <v>44801</v>
      </c>
      <c r="B242" s="3" t="s">
        <v>1194</v>
      </c>
      <c r="C242" s="3" t="s">
        <v>1195</v>
      </c>
      <c r="D242" s="3" t="s">
        <v>1196</v>
      </c>
      <c r="E242" s="3" t="s">
        <v>6454</v>
      </c>
      <c r="F242" s="3" t="s">
        <v>6455</v>
      </c>
    </row>
    <row r="243" spans="1:6" x14ac:dyDescent="0.35">
      <c r="A243" s="5">
        <f t="shared" ca="1" si="3"/>
        <v>44802</v>
      </c>
      <c r="B243" s="3" t="s">
        <v>1197</v>
      </c>
      <c r="C243" s="3" t="s">
        <v>1198</v>
      </c>
      <c r="D243" s="3" t="s">
        <v>1199</v>
      </c>
      <c r="E243" s="3" t="s">
        <v>6456</v>
      </c>
      <c r="F243" s="3" t="s">
        <v>6457</v>
      </c>
    </row>
    <row r="244" spans="1:6" x14ac:dyDescent="0.35">
      <c r="A244" s="5">
        <f t="shared" ca="1" si="3"/>
        <v>44803</v>
      </c>
      <c r="B244" s="3" t="s">
        <v>1200</v>
      </c>
      <c r="C244" s="3" t="s">
        <v>1201</v>
      </c>
      <c r="D244" s="3" t="s">
        <v>1202</v>
      </c>
      <c r="E244" s="3" t="s">
        <v>6458</v>
      </c>
      <c r="F244" s="3" t="s">
        <v>6459</v>
      </c>
    </row>
    <row r="245" spans="1:6" x14ac:dyDescent="0.35">
      <c r="A245" s="5">
        <f t="shared" ca="1" si="3"/>
        <v>44804</v>
      </c>
      <c r="B245" s="3" t="s">
        <v>1203</v>
      </c>
      <c r="C245" s="3" t="s">
        <v>1204</v>
      </c>
      <c r="D245" s="3" t="s">
        <v>1205</v>
      </c>
      <c r="E245" s="3" t="s">
        <v>6460</v>
      </c>
      <c r="F245" s="3" t="s">
        <v>6461</v>
      </c>
    </row>
    <row r="246" spans="1:6" x14ac:dyDescent="0.35">
      <c r="A246" s="5">
        <f t="shared" ca="1" si="3"/>
        <v>44805</v>
      </c>
      <c r="B246" s="3" t="s">
        <v>1206</v>
      </c>
      <c r="C246" s="3" t="s">
        <v>1207</v>
      </c>
      <c r="D246" s="3" t="s">
        <v>1208</v>
      </c>
      <c r="E246" s="3" t="s">
        <v>6462</v>
      </c>
      <c r="F246" s="3" t="s">
        <v>6463</v>
      </c>
    </row>
    <row r="247" spans="1:6" x14ac:dyDescent="0.35">
      <c r="A247" s="5">
        <f t="shared" ca="1" si="3"/>
        <v>44806</v>
      </c>
      <c r="B247" s="3" t="s">
        <v>1209</v>
      </c>
      <c r="C247" s="3" t="s">
        <v>1210</v>
      </c>
      <c r="D247" s="3" t="s">
        <v>1211</v>
      </c>
      <c r="E247" s="3" t="s">
        <v>6464</v>
      </c>
      <c r="F247" s="3" t="s">
        <v>6465</v>
      </c>
    </row>
    <row r="248" spans="1:6" x14ac:dyDescent="0.35">
      <c r="A248" s="5">
        <f t="shared" ca="1" si="3"/>
        <v>44807</v>
      </c>
      <c r="B248" s="3" t="s">
        <v>1212</v>
      </c>
      <c r="C248" s="3" t="s">
        <v>1213</v>
      </c>
      <c r="D248" s="3" t="s">
        <v>1214</v>
      </c>
      <c r="E248" s="3" t="s">
        <v>6466</v>
      </c>
      <c r="F248" s="3" t="s">
        <v>6467</v>
      </c>
    </row>
    <row r="249" spans="1:6" x14ac:dyDescent="0.35">
      <c r="A249" s="5">
        <f t="shared" ca="1" si="3"/>
        <v>44808</v>
      </c>
      <c r="B249" s="3" t="s">
        <v>1215</v>
      </c>
      <c r="C249" s="3" t="s">
        <v>1216</v>
      </c>
      <c r="D249" s="3" t="s">
        <v>1217</v>
      </c>
      <c r="E249" s="3" t="s">
        <v>6468</v>
      </c>
      <c r="F249" s="3" t="s">
        <v>6469</v>
      </c>
    </row>
    <row r="250" spans="1:6" x14ac:dyDescent="0.35">
      <c r="A250" s="5">
        <f t="shared" ca="1" si="3"/>
        <v>44809</v>
      </c>
      <c r="B250" s="3" t="s">
        <v>1218</v>
      </c>
      <c r="C250" s="3" t="s">
        <v>1219</v>
      </c>
      <c r="D250" s="3" t="s">
        <v>1220</v>
      </c>
      <c r="E250" s="3" t="s">
        <v>6470</v>
      </c>
      <c r="F250" s="3" t="s">
        <v>6471</v>
      </c>
    </row>
    <row r="251" spans="1:6" x14ac:dyDescent="0.35">
      <c r="A251" s="5">
        <f t="shared" ca="1" si="3"/>
        <v>44810</v>
      </c>
      <c r="B251" s="3" t="s">
        <v>1221</v>
      </c>
      <c r="C251" s="3" t="s">
        <v>1222</v>
      </c>
      <c r="D251" s="3" t="s">
        <v>1223</v>
      </c>
      <c r="E251" s="3" t="s">
        <v>6472</v>
      </c>
      <c r="F251" s="3" t="s">
        <v>6473</v>
      </c>
    </row>
    <row r="252" spans="1:6" x14ac:dyDescent="0.35">
      <c r="A252" s="5">
        <f t="shared" ca="1" si="3"/>
        <v>44811</v>
      </c>
      <c r="B252" s="3" t="s">
        <v>1224</v>
      </c>
      <c r="C252" s="3" t="s">
        <v>1225</v>
      </c>
      <c r="D252" s="3" t="s">
        <v>1226</v>
      </c>
      <c r="E252" s="3" t="s">
        <v>6474</v>
      </c>
      <c r="F252" s="3" t="s">
        <v>6475</v>
      </c>
    </row>
    <row r="253" spans="1:6" x14ac:dyDescent="0.35">
      <c r="A253" s="5">
        <f t="shared" ca="1" si="3"/>
        <v>44812</v>
      </c>
      <c r="B253" s="3" t="s">
        <v>1227</v>
      </c>
      <c r="C253" s="3" t="s">
        <v>1228</v>
      </c>
      <c r="D253" s="3" t="s">
        <v>1229</v>
      </c>
      <c r="E253" s="3" t="s">
        <v>6476</v>
      </c>
      <c r="F253" s="3" t="s">
        <v>6477</v>
      </c>
    </row>
    <row r="254" spans="1:6" x14ac:dyDescent="0.35">
      <c r="A254" s="5">
        <f t="shared" ca="1" si="3"/>
        <v>44813</v>
      </c>
      <c r="B254" s="3" t="s">
        <v>1230</v>
      </c>
      <c r="C254" s="3" t="s">
        <v>1231</v>
      </c>
      <c r="D254" s="3" t="s">
        <v>1232</v>
      </c>
      <c r="E254" s="3" t="s">
        <v>6478</v>
      </c>
      <c r="F254" s="3" t="s">
        <v>6479</v>
      </c>
    </row>
    <row r="255" spans="1:6" x14ac:dyDescent="0.35">
      <c r="A255" s="5">
        <f t="shared" ca="1" si="3"/>
        <v>44814</v>
      </c>
      <c r="B255" s="3" t="s">
        <v>1233</v>
      </c>
      <c r="C255" s="3" t="s">
        <v>1234</v>
      </c>
      <c r="D255" s="3" t="s">
        <v>1235</v>
      </c>
      <c r="E255" s="3" t="s">
        <v>6480</v>
      </c>
      <c r="F255" s="3" t="s">
        <v>6481</v>
      </c>
    </row>
    <row r="256" spans="1:6" x14ac:dyDescent="0.35">
      <c r="A256" s="5">
        <f t="shared" ca="1" si="3"/>
        <v>44815</v>
      </c>
      <c r="B256" s="3" t="s">
        <v>1236</v>
      </c>
      <c r="C256" s="3" t="s">
        <v>1237</v>
      </c>
      <c r="D256" s="3" t="s">
        <v>1238</v>
      </c>
      <c r="E256" s="3" t="s">
        <v>6482</v>
      </c>
      <c r="F256" s="3" t="s">
        <v>6483</v>
      </c>
    </row>
    <row r="257" spans="1:6" x14ac:dyDescent="0.35">
      <c r="A257" s="5">
        <f t="shared" ca="1" si="3"/>
        <v>44816</v>
      </c>
      <c r="B257" s="3" t="s">
        <v>1239</v>
      </c>
      <c r="C257" s="3" t="s">
        <v>1240</v>
      </c>
      <c r="D257" s="3" t="s">
        <v>1241</v>
      </c>
      <c r="E257" s="3" t="s">
        <v>6484</v>
      </c>
      <c r="F257" s="3" t="s">
        <v>6485</v>
      </c>
    </row>
    <row r="258" spans="1:6" x14ac:dyDescent="0.35">
      <c r="A258" s="5">
        <f t="shared" ca="1" si="3"/>
        <v>44817</v>
      </c>
      <c r="B258" s="3" t="s">
        <v>1242</v>
      </c>
      <c r="C258" s="3" t="s">
        <v>1243</v>
      </c>
      <c r="D258" s="3" t="s">
        <v>1244</v>
      </c>
      <c r="E258" s="3" t="s">
        <v>6486</v>
      </c>
      <c r="F258" s="3" t="s">
        <v>6487</v>
      </c>
    </row>
    <row r="259" spans="1:6" x14ac:dyDescent="0.35">
      <c r="A259" s="5">
        <f t="shared" ca="1" si="3"/>
        <v>44818</v>
      </c>
      <c r="B259" s="3" t="s">
        <v>1245</v>
      </c>
      <c r="C259" s="3" t="s">
        <v>1246</v>
      </c>
      <c r="D259" s="3" t="s">
        <v>1247</v>
      </c>
      <c r="E259" s="3" t="s">
        <v>6488</v>
      </c>
      <c r="F259" s="3" t="s">
        <v>6489</v>
      </c>
    </row>
    <row r="260" spans="1:6" x14ac:dyDescent="0.35">
      <c r="A260" s="5">
        <f t="shared" ca="1" si="3"/>
        <v>44819</v>
      </c>
      <c r="B260" s="3" t="s">
        <v>1248</v>
      </c>
      <c r="C260" s="3" t="s">
        <v>1249</v>
      </c>
      <c r="D260" s="3" t="s">
        <v>1250</v>
      </c>
      <c r="E260" s="3" t="s">
        <v>6490</v>
      </c>
      <c r="F260" s="3" t="s">
        <v>6491</v>
      </c>
    </row>
    <row r="261" spans="1:6" x14ac:dyDescent="0.35">
      <c r="A261" s="5">
        <f t="shared" ref="A261:A324" ca="1" si="4">A260+1</f>
        <v>44820</v>
      </c>
      <c r="B261" s="3" t="s">
        <v>1251</v>
      </c>
      <c r="C261" s="3" t="s">
        <v>1252</v>
      </c>
      <c r="D261" s="3" t="s">
        <v>1253</v>
      </c>
      <c r="E261" s="3" t="s">
        <v>6492</v>
      </c>
      <c r="F261" s="3" t="s">
        <v>6493</v>
      </c>
    </row>
    <row r="262" spans="1:6" x14ac:dyDescent="0.35">
      <c r="A262" s="5">
        <f t="shared" ca="1" si="4"/>
        <v>44821</v>
      </c>
      <c r="B262" s="3" t="s">
        <v>1254</v>
      </c>
      <c r="C262" s="3" t="s">
        <v>1255</v>
      </c>
      <c r="D262" s="3" t="s">
        <v>1256</v>
      </c>
      <c r="E262" s="3" t="s">
        <v>6494</v>
      </c>
      <c r="F262" s="3" t="s">
        <v>6495</v>
      </c>
    </row>
    <row r="263" spans="1:6" x14ac:dyDescent="0.35">
      <c r="A263" s="5">
        <f t="shared" ca="1" si="4"/>
        <v>44822</v>
      </c>
      <c r="B263" s="3" t="s">
        <v>1257</v>
      </c>
      <c r="C263" s="3" t="s">
        <v>1258</v>
      </c>
      <c r="D263" s="3" t="s">
        <v>1259</v>
      </c>
      <c r="E263" s="3" t="s">
        <v>6496</v>
      </c>
      <c r="F263" s="3" t="s">
        <v>6497</v>
      </c>
    </row>
    <row r="264" spans="1:6" x14ac:dyDescent="0.35">
      <c r="A264" s="5">
        <f t="shared" ca="1" si="4"/>
        <v>44823</v>
      </c>
      <c r="B264" s="3" t="s">
        <v>1260</v>
      </c>
      <c r="C264" s="3" t="s">
        <v>1261</v>
      </c>
      <c r="D264" s="3" t="s">
        <v>1262</v>
      </c>
      <c r="E264" s="3" t="s">
        <v>6498</v>
      </c>
      <c r="F264" s="3" t="s">
        <v>6499</v>
      </c>
    </row>
    <row r="265" spans="1:6" x14ac:dyDescent="0.35">
      <c r="A265" s="5">
        <f t="shared" ca="1" si="4"/>
        <v>44824</v>
      </c>
      <c r="B265" s="3" t="s">
        <v>1263</v>
      </c>
      <c r="C265" s="3" t="s">
        <v>1264</v>
      </c>
      <c r="D265" s="3" t="s">
        <v>1265</v>
      </c>
      <c r="E265" s="3" t="s">
        <v>6500</v>
      </c>
      <c r="F265" s="3" t="s">
        <v>6501</v>
      </c>
    </row>
    <row r="266" spans="1:6" x14ac:dyDescent="0.35">
      <c r="A266" s="5">
        <f t="shared" ca="1" si="4"/>
        <v>44825</v>
      </c>
      <c r="B266" s="3" t="s">
        <v>1266</v>
      </c>
      <c r="C266" s="3" t="s">
        <v>1267</v>
      </c>
      <c r="D266" s="3" t="s">
        <v>1268</v>
      </c>
      <c r="E266" s="3" t="s">
        <v>6502</v>
      </c>
      <c r="F266" s="3" t="s">
        <v>6503</v>
      </c>
    </row>
    <row r="267" spans="1:6" x14ac:dyDescent="0.35">
      <c r="A267" s="5">
        <f t="shared" ca="1" si="4"/>
        <v>44826</v>
      </c>
      <c r="B267" s="3" t="s">
        <v>1269</v>
      </c>
      <c r="C267" s="3" t="s">
        <v>1270</v>
      </c>
      <c r="D267" s="3" t="s">
        <v>1271</v>
      </c>
      <c r="E267" s="3" t="s">
        <v>6504</v>
      </c>
      <c r="F267" s="3" t="s">
        <v>6505</v>
      </c>
    </row>
    <row r="268" spans="1:6" x14ac:dyDescent="0.35">
      <c r="A268" s="5">
        <f t="shared" ca="1" si="4"/>
        <v>44827</v>
      </c>
      <c r="B268" s="3" t="s">
        <v>1272</v>
      </c>
      <c r="C268" s="3" t="s">
        <v>1273</v>
      </c>
      <c r="D268" s="3" t="s">
        <v>1274</v>
      </c>
      <c r="E268" s="3" t="s">
        <v>6506</v>
      </c>
      <c r="F268" s="3" t="s">
        <v>6507</v>
      </c>
    </row>
    <row r="269" spans="1:6" x14ac:dyDescent="0.35">
      <c r="A269" s="5">
        <f t="shared" ca="1" si="4"/>
        <v>44828</v>
      </c>
      <c r="B269" s="3" t="s">
        <v>1275</v>
      </c>
      <c r="C269" s="3" t="s">
        <v>1276</v>
      </c>
      <c r="D269" s="3" t="s">
        <v>1277</v>
      </c>
      <c r="E269" s="3" t="s">
        <v>6508</v>
      </c>
      <c r="F269" s="3" t="s">
        <v>6509</v>
      </c>
    </row>
    <row r="270" spans="1:6" x14ac:dyDescent="0.35">
      <c r="A270" s="5">
        <f t="shared" ca="1" si="4"/>
        <v>44829</v>
      </c>
      <c r="B270" s="3" t="s">
        <v>1278</v>
      </c>
      <c r="C270" s="3" t="s">
        <v>1279</v>
      </c>
      <c r="D270" s="3" t="s">
        <v>1280</v>
      </c>
      <c r="E270" s="3" t="s">
        <v>6510</v>
      </c>
      <c r="F270" s="3" t="s">
        <v>6511</v>
      </c>
    </row>
    <row r="271" spans="1:6" x14ac:dyDescent="0.35">
      <c r="A271" s="5">
        <f t="shared" ca="1" si="4"/>
        <v>44830</v>
      </c>
      <c r="B271" s="3" t="s">
        <v>1281</v>
      </c>
      <c r="C271" s="3" t="s">
        <v>1282</v>
      </c>
      <c r="D271" s="3" t="s">
        <v>1283</v>
      </c>
      <c r="E271" s="3" t="s">
        <v>6512</v>
      </c>
      <c r="F271" s="3" t="s">
        <v>6513</v>
      </c>
    </row>
    <row r="272" spans="1:6" x14ac:dyDescent="0.35">
      <c r="A272" s="5">
        <f t="shared" ca="1" si="4"/>
        <v>44831</v>
      </c>
      <c r="B272" s="3" t="s">
        <v>1284</v>
      </c>
      <c r="C272" s="3" t="s">
        <v>1285</v>
      </c>
      <c r="D272" s="3" t="s">
        <v>1286</v>
      </c>
      <c r="E272" s="3" t="s">
        <v>6514</v>
      </c>
      <c r="F272" s="3" t="s">
        <v>6515</v>
      </c>
    </row>
    <row r="273" spans="1:6" x14ac:dyDescent="0.35">
      <c r="A273" s="5">
        <f t="shared" ca="1" si="4"/>
        <v>44832</v>
      </c>
      <c r="B273" s="3" t="s">
        <v>1287</v>
      </c>
      <c r="C273" s="3" t="s">
        <v>1288</v>
      </c>
      <c r="D273" s="3" t="s">
        <v>1289</v>
      </c>
      <c r="E273" s="3" t="s">
        <v>6516</v>
      </c>
      <c r="F273" s="3" t="s">
        <v>6517</v>
      </c>
    </row>
    <row r="274" spans="1:6" x14ac:dyDescent="0.35">
      <c r="A274" s="5">
        <f t="shared" ca="1" si="4"/>
        <v>44833</v>
      </c>
      <c r="B274" s="3" t="s">
        <v>1290</v>
      </c>
      <c r="C274" s="3" t="s">
        <v>1291</v>
      </c>
      <c r="D274" s="3" t="s">
        <v>1292</v>
      </c>
      <c r="E274" s="3" t="s">
        <v>6518</v>
      </c>
      <c r="F274" s="3" t="s">
        <v>6519</v>
      </c>
    </row>
    <row r="275" spans="1:6" x14ac:dyDescent="0.35">
      <c r="A275" s="5">
        <f t="shared" ca="1" si="4"/>
        <v>44834</v>
      </c>
      <c r="B275" s="3" t="s">
        <v>1293</v>
      </c>
      <c r="C275" s="3" t="s">
        <v>1294</v>
      </c>
      <c r="D275" s="3" t="s">
        <v>1295</v>
      </c>
      <c r="E275" s="3" t="s">
        <v>6520</v>
      </c>
      <c r="F275" s="3" t="s">
        <v>6521</v>
      </c>
    </row>
    <row r="276" spans="1:6" x14ac:dyDescent="0.35">
      <c r="A276" s="5">
        <f t="shared" ca="1" si="4"/>
        <v>44835</v>
      </c>
      <c r="B276" s="3" t="s">
        <v>1296</v>
      </c>
      <c r="C276" s="3" t="s">
        <v>1297</v>
      </c>
      <c r="D276" s="3" t="s">
        <v>1298</v>
      </c>
      <c r="E276" s="3" t="s">
        <v>6522</v>
      </c>
      <c r="F276" s="3" t="s">
        <v>6523</v>
      </c>
    </row>
    <row r="277" spans="1:6" x14ac:dyDescent="0.35">
      <c r="A277" s="5">
        <f t="shared" ca="1" si="4"/>
        <v>44836</v>
      </c>
      <c r="B277" s="3" t="s">
        <v>1299</v>
      </c>
      <c r="C277" s="3" t="s">
        <v>1300</v>
      </c>
      <c r="D277" s="3" t="s">
        <v>1301</v>
      </c>
      <c r="E277" s="3" t="s">
        <v>6524</v>
      </c>
      <c r="F277" s="3" t="s">
        <v>6525</v>
      </c>
    </row>
    <row r="278" spans="1:6" x14ac:dyDescent="0.35">
      <c r="A278" s="5">
        <f t="shared" ca="1" si="4"/>
        <v>44837</v>
      </c>
      <c r="B278" s="3" t="s">
        <v>1302</v>
      </c>
      <c r="C278" s="3" t="s">
        <v>1303</v>
      </c>
      <c r="D278" s="3" t="s">
        <v>1304</v>
      </c>
      <c r="E278" s="3" t="s">
        <v>6526</v>
      </c>
      <c r="F278" s="3" t="s">
        <v>6527</v>
      </c>
    </row>
    <row r="279" spans="1:6" x14ac:dyDescent="0.35">
      <c r="A279" s="5">
        <f t="shared" ca="1" si="4"/>
        <v>44838</v>
      </c>
      <c r="B279" s="3" t="s">
        <v>1305</v>
      </c>
      <c r="C279" s="3" t="s">
        <v>1306</v>
      </c>
      <c r="D279" s="3" t="s">
        <v>1307</v>
      </c>
      <c r="E279" s="3" t="s">
        <v>6528</v>
      </c>
      <c r="F279" s="3" t="s">
        <v>6529</v>
      </c>
    </row>
    <row r="280" spans="1:6" x14ac:dyDescent="0.35">
      <c r="A280" s="5">
        <f t="shared" ca="1" si="4"/>
        <v>44839</v>
      </c>
      <c r="B280" s="3" t="s">
        <v>1308</v>
      </c>
      <c r="C280" s="3" t="s">
        <v>1309</v>
      </c>
      <c r="D280" s="3" t="s">
        <v>1310</v>
      </c>
      <c r="E280" s="3" t="s">
        <v>6530</v>
      </c>
      <c r="F280" s="3" t="s">
        <v>6531</v>
      </c>
    </row>
    <row r="281" spans="1:6" x14ac:dyDescent="0.35">
      <c r="A281" s="5">
        <f t="shared" ca="1" si="4"/>
        <v>44840</v>
      </c>
      <c r="B281" s="3" t="s">
        <v>1311</v>
      </c>
      <c r="C281" s="3" t="s">
        <v>1312</v>
      </c>
      <c r="D281" s="3" t="s">
        <v>1313</v>
      </c>
      <c r="E281" s="3" t="s">
        <v>6532</v>
      </c>
      <c r="F281" s="3" t="s">
        <v>6533</v>
      </c>
    </row>
    <row r="282" spans="1:6" x14ac:dyDescent="0.35">
      <c r="A282" s="5">
        <f t="shared" ca="1" si="4"/>
        <v>44841</v>
      </c>
      <c r="B282" s="3" t="s">
        <v>1314</v>
      </c>
      <c r="C282" s="3" t="s">
        <v>1315</v>
      </c>
      <c r="D282" s="3" t="s">
        <v>1316</v>
      </c>
      <c r="E282" s="3" t="s">
        <v>6534</v>
      </c>
      <c r="F282" s="3" t="s">
        <v>6535</v>
      </c>
    </row>
    <row r="283" spans="1:6" x14ac:dyDescent="0.35">
      <c r="A283" s="5">
        <f t="shared" ca="1" si="4"/>
        <v>44842</v>
      </c>
      <c r="B283" s="3" t="s">
        <v>1317</v>
      </c>
      <c r="C283" s="3" t="s">
        <v>1318</v>
      </c>
      <c r="D283" s="3" t="s">
        <v>1319</v>
      </c>
      <c r="E283" s="3" t="s">
        <v>6536</v>
      </c>
      <c r="F283" s="3" t="s">
        <v>6537</v>
      </c>
    </row>
    <row r="284" spans="1:6" x14ac:dyDescent="0.35">
      <c r="A284" s="5">
        <f t="shared" ca="1" si="4"/>
        <v>44843</v>
      </c>
      <c r="B284" s="3" t="s">
        <v>1320</v>
      </c>
      <c r="C284" s="3" t="s">
        <v>1321</v>
      </c>
      <c r="D284" s="3" t="s">
        <v>1322</v>
      </c>
      <c r="E284" s="3" t="s">
        <v>6538</v>
      </c>
      <c r="F284" s="3" t="s">
        <v>6539</v>
      </c>
    </row>
    <row r="285" spans="1:6" x14ac:dyDescent="0.35">
      <c r="A285" s="5">
        <f t="shared" ca="1" si="4"/>
        <v>44844</v>
      </c>
      <c r="B285" s="3" t="s">
        <v>1323</v>
      </c>
      <c r="C285" s="3" t="s">
        <v>1324</v>
      </c>
      <c r="D285" s="3" t="s">
        <v>1325</v>
      </c>
      <c r="E285" s="3" t="s">
        <v>6540</v>
      </c>
      <c r="F285" s="3" t="s">
        <v>6541</v>
      </c>
    </row>
    <row r="286" spans="1:6" x14ac:dyDescent="0.35">
      <c r="A286" s="5">
        <f t="shared" ca="1" si="4"/>
        <v>44845</v>
      </c>
      <c r="B286" s="3" t="s">
        <v>1326</v>
      </c>
      <c r="C286" s="3" t="s">
        <v>1327</v>
      </c>
      <c r="D286" s="3" t="s">
        <v>1328</v>
      </c>
      <c r="E286" s="3" t="s">
        <v>6542</v>
      </c>
      <c r="F286" s="3" t="s">
        <v>6543</v>
      </c>
    </row>
    <row r="287" spans="1:6" x14ac:dyDescent="0.35">
      <c r="A287" s="5">
        <f t="shared" ca="1" si="4"/>
        <v>44846</v>
      </c>
      <c r="B287" s="3" t="s">
        <v>1329</v>
      </c>
      <c r="C287" s="3" t="s">
        <v>1330</v>
      </c>
      <c r="D287" s="3" t="s">
        <v>1331</v>
      </c>
      <c r="E287" s="3" t="s">
        <v>6544</v>
      </c>
      <c r="F287" s="3" t="s">
        <v>6545</v>
      </c>
    </row>
    <row r="288" spans="1:6" x14ac:dyDescent="0.35">
      <c r="A288" s="5">
        <f t="shared" ca="1" si="4"/>
        <v>44847</v>
      </c>
      <c r="B288" s="3" t="s">
        <v>1332</v>
      </c>
      <c r="C288" s="3" t="s">
        <v>1333</v>
      </c>
      <c r="D288" s="3" t="s">
        <v>1334</v>
      </c>
      <c r="E288" s="3" t="s">
        <v>6546</v>
      </c>
      <c r="F288" s="3" t="s">
        <v>6547</v>
      </c>
    </row>
    <row r="289" spans="1:6" x14ac:dyDescent="0.35">
      <c r="A289" s="5">
        <f t="shared" ca="1" si="4"/>
        <v>44848</v>
      </c>
      <c r="B289" s="3" t="s">
        <v>1335</v>
      </c>
      <c r="C289" s="3" t="s">
        <v>1336</v>
      </c>
      <c r="D289" s="3" t="s">
        <v>1337</v>
      </c>
      <c r="E289" s="3" t="s">
        <v>6548</v>
      </c>
      <c r="F289" s="3" t="s">
        <v>6549</v>
      </c>
    </row>
    <row r="290" spans="1:6" x14ac:dyDescent="0.35">
      <c r="A290" s="5">
        <f t="shared" ca="1" si="4"/>
        <v>44849</v>
      </c>
      <c r="B290" s="3" t="s">
        <v>1338</v>
      </c>
      <c r="C290" s="3" t="s">
        <v>1339</v>
      </c>
      <c r="D290" s="3" t="s">
        <v>1340</v>
      </c>
      <c r="E290" s="3" t="s">
        <v>6550</v>
      </c>
      <c r="F290" s="3" t="s">
        <v>6551</v>
      </c>
    </row>
    <row r="291" spans="1:6" x14ac:dyDescent="0.35">
      <c r="A291" s="5">
        <f t="shared" ca="1" si="4"/>
        <v>44850</v>
      </c>
      <c r="B291" s="3" t="s">
        <v>1341</v>
      </c>
      <c r="C291" s="3" t="s">
        <v>1342</v>
      </c>
      <c r="D291" s="3" t="s">
        <v>1343</v>
      </c>
      <c r="E291" s="3" t="s">
        <v>6552</v>
      </c>
      <c r="F291" s="3" t="s">
        <v>6553</v>
      </c>
    </row>
    <row r="292" spans="1:6" x14ac:dyDescent="0.35">
      <c r="A292" s="5">
        <f t="shared" ca="1" si="4"/>
        <v>44851</v>
      </c>
      <c r="B292" s="3" t="s">
        <v>1344</v>
      </c>
      <c r="C292" s="3" t="s">
        <v>1345</v>
      </c>
      <c r="D292" s="3" t="s">
        <v>1346</v>
      </c>
      <c r="E292" s="3" t="s">
        <v>6554</v>
      </c>
      <c r="F292" s="3" t="s">
        <v>6555</v>
      </c>
    </row>
    <row r="293" spans="1:6" x14ac:dyDescent="0.35">
      <c r="A293" s="5">
        <f t="shared" ca="1" si="4"/>
        <v>44852</v>
      </c>
      <c r="B293" s="3" t="s">
        <v>1347</v>
      </c>
      <c r="C293" s="3" t="s">
        <v>1348</v>
      </c>
      <c r="D293" s="3" t="s">
        <v>1349</v>
      </c>
      <c r="E293" s="3" t="s">
        <v>6556</v>
      </c>
      <c r="F293" s="3" t="s">
        <v>6557</v>
      </c>
    </row>
    <row r="294" spans="1:6" x14ac:dyDescent="0.35">
      <c r="A294" s="5">
        <f t="shared" ca="1" si="4"/>
        <v>44853</v>
      </c>
      <c r="B294" s="3" t="s">
        <v>1350</v>
      </c>
      <c r="C294" s="3" t="s">
        <v>1351</v>
      </c>
      <c r="D294" s="3" t="s">
        <v>1352</v>
      </c>
      <c r="E294" s="3" t="s">
        <v>6558</v>
      </c>
      <c r="F294" s="3" t="s">
        <v>6559</v>
      </c>
    </row>
    <row r="295" spans="1:6" x14ac:dyDescent="0.35">
      <c r="A295" s="5">
        <f t="shared" ca="1" si="4"/>
        <v>44854</v>
      </c>
      <c r="B295" s="3" t="s">
        <v>1353</v>
      </c>
      <c r="C295" s="3" t="s">
        <v>1354</v>
      </c>
      <c r="D295" s="3" t="s">
        <v>1355</v>
      </c>
      <c r="E295" s="3" t="s">
        <v>6560</v>
      </c>
      <c r="F295" s="3" t="s">
        <v>6561</v>
      </c>
    </row>
    <row r="296" spans="1:6" x14ac:dyDescent="0.35">
      <c r="A296" s="5">
        <f t="shared" ca="1" si="4"/>
        <v>44855</v>
      </c>
      <c r="B296" s="3" t="s">
        <v>1356</v>
      </c>
      <c r="C296" s="3" t="s">
        <v>1357</v>
      </c>
      <c r="D296" s="3" t="s">
        <v>1358</v>
      </c>
      <c r="E296" s="3" t="s">
        <v>6562</v>
      </c>
      <c r="F296" s="3" t="s">
        <v>6563</v>
      </c>
    </row>
    <row r="297" spans="1:6" x14ac:dyDescent="0.35">
      <c r="A297" s="5">
        <f t="shared" ca="1" si="4"/>
        <v>44856</v>
      </c>
      <c r="B297" s="3" t="s">
        <v>1359</v>
      </c>
      <c r="C297" s="3" t="s">
        <v>1360</v>
      </c>
      <c r="D297" s="3" t="s">
        <v>1361</v>
      </c>
      <c r="E297" s="3" t="s">
        <v>6564</v>
      </c>
      <c r="F297" s="3" t="s">
        <v>6565</v>
      </c>
    </row>
    <row r="298" spans="1:6" x14ac:dyDescent="0.35">
      <c r="A298" s="5">
        <f t="shared" ca="1" si="4"/>
        <v>44857</v>
      </c>
      <c r="B298" s="3" t="s">
        <v>1362</v>
      </c>
      <c r="C298" s="3" t="s">
        <v>1363</v>
      </c>
      <c r="D298" s="3" t="s">
        <v>1364</v>
      </c>
      <c r="E298" s="3" t="s">
        <v>6566</v>
      </c>
      <c r="F298" s="3" t="s">
        <v>6567</v>
      </c>
    </row>
    <row r="299" spans="1:6" x14ac:dyDescent="0.35">
      <c r="A299" s="5">
        <f t="shared" ca="1" si="4"/>
        <v>44858</v>
      </c>
      <c r="B299" s="3" t="s">
        <v>1365</v>
      </c>
      <c r="C299" s="3" t="s">
        <v>1366</v>
      </c>
      <c r="D299" s="3" t="s">
        <v>1367</v>
      </c>
      <c r="E299" s="3" t="s">
        <v>6568</v>
      </c>
      <c r="F299" s="3" t="s">
        <v>6569</v>
      </c>
    </row>
    <row r="300" spans="1:6" x14ac:dyDescent="0.35">
      <c r="A300" s="5">
        <f t="shared" ca="1" si="4"/>
        <v>44859</v>
      </c>
      <c r="B300" s="3" t="s">
        <v>1368</v>
      </c>
      <c r="C300" s="3" t="s">
        <v>1369</v>
      </c>
      <c r="D300" s="3" t="s">
        <v>1370</v>
      </c>
      <c r="E300" s="3" t="s">
        <v>6570</v>
      </c>
      <c r="F300" s="3" t="s">
        <v>6571</v>
      </c>
    </row>
    <row r="301" spans="1:6" x14ac:dyDescent="0.35">
      <c r="A301" s="5">
        <f t="shared" ca="1" si="4"/>
        <v>44860</v>
      </c>
      <c r="B301" s="3" t="s">
        <v>1371</v>
      </c>
      <c r="C301" s="3" t="s">
        <v>1372</v>
      </c>
      <c r="D301" s="3" t="s">
        <v>1373</v>
      </c>
      <c r="E301" s="3" t="s">
        <v>6572</v>
      </c>
      <c r="F301" s="3" t="s">
        <v>6573</v>
      </c>
    </row>
    <row r="302" spans="1:6" x14ac:dyDescent="0.35">
      <c r="A302" s="5">
        <f t="shared" ca="1" si="4"/>
        <v>44861</v>
      </c>
      <c r="B302" s="3" t="s">
        <v>1374</v>
      </c>
      <c r="C302" s="3" t="s">
        <v>1375</v>
      </c>
      <c r="D302" s="3" t="s">
        <v>1376</v>
      </c>
      <c r="E302" s="3" t="s">
        <v>6574</v>
      </c>
      <c r="F302" s="3" t="s">
        <v>6575</v>
      </c>
    </row>
    <row r="303" spans="1:6" x14ac:dyDescent="0.35">
      <c r="A303" s="5">
        <f t="shared" ca="1" si="4"/>
        <v>44862</v>
      </c>
      <c r="B303" s="3" t="s">
        <v>1377</v>
      </c>
      <c r="C303" s="3" t="s">
        <v>1378</v>
      </c>
      <c r="D303" s="3" t="s">
        <v>1379</v>
      </c>
      <c r="E303" s="3" t="s">
        <v>6576</v>
      </c>
      <c r="F303" s="3" t="s">
        <v>6577</v>
      </c>
    </row>
    <row r="304" spans="1:6" x14ac:dyDescent="0.35">
      <c r="A304" s="5">
        <f t="shared" ca="1" si="4"/>
        <v>44863</v>
      </c>
      <c r="B304" s="3" t="s">
        <v>1380</v>
      </c>
      <c r="C304" s="3" t="s">
        <v>1381</v>
      </c>
      <c r="D304" s="3" t="s">
        <v>1382</v>
      </c>
      <c r="E304" s="3" t="s">
        <v>6578</v>
      </c>
      <c r="F304" s="3" t="s">
        <v>6579</v>
      </c>
    </row>
    <row r="305" spans="1:6" x14ac:dyDescent="0.35">
      <c r="A305" s="5">
        <f t="shared" ca="1" si="4"/>
        <v>44864</v>
      </c>
      <c r="B305" s="3" t="s">
        <v>1383</v>
      </c>
      <c r="C305" s="3" t="s">
        <v>1384</v>
      </c>
      <c r="D305" s="3" t="s">
        <v>1385</v>
      </c>
      <c r="E305" s="3" t="s">
        <v>6580</v>
      </c>
      <c r="F305" s="3" t="s">
        <v>6581</v>
      </c>
    </row>
    <row r="306" spans="1:6" x14ac:dyDescent="0.35">
      <c r="A306" s="5">
        <f t="shared" ca="1" si="4"/>
        <v>44865</v>
      </c>
      <c r="B306" s="3" t="s">
        <v>1386</v>
      </c>
      <c r="C306" s="3" t="s">
        <v>1387</v>
      </c>
      <c r="D306" s="3" t="s">
        <v>1388</v>
      </c>
      <c r="E306" s="3" t="s">
        <v>6582</v>
      </c>
      <c r="F306" s="3" t="s">
        <v>6583</v>
      </c>
    </row>
    <row r="307" spans="1:6" x14ac:dyDescent="0.35">
      <c r="A307" s="5">
        <f t="shared" ca="1" si="4"/>
        <v>44866</v>
      </c>
      <c r="B307" s="3" t="s">
        <v>1389</v>
      </c>
      <c r="C307" s="3" t="s">
        <v>1390</v>
      </c>
      <c r="D307" s="3" t="s">
        <v>1391</v>
      </c>
      <c r="E307" s="3" t="s">
        <v>6584</v>
      </c>
      <c r="F307" s="3" t="s">
        <v>6585</v>
      </c>
    </row>
    <row r="308" spans="1:6" x14ac:dyDescent="0.35">
      <c r="A308" s="5">
        <f t="shared" ca="1" si="4"/>
        <v>44867</v>
      </c>
      <c r="B308" s="3" t="s">
        <v>1392</v>
      </c>
      <c r="C308" s="3" t="s">
        <v>1393</v>
      </c>
      <c r="D308" s="3" t="s">
        <v>1394</v>
      </c>
      <c r="E308" s="3" t="s">
        <v>6586</v>
      </c>
      <c r="F308" s="3" t="s">
        <v>6587</v>
      </c>
    </row>
    <row r="309" spans="1:6" x14ac:dyDescent="0.35">
      <c r="A309" s="5">
        <f t="shared" ca="1" si="4"/>
        <v>44868</v>
      </c>
      <c r="B309" s="3" t="s">
        <v>1395</v>
      </c>
      <c r="C309" s="3" t="s">
        <v>1396</v>
      </c>
      <c r="D309" s="3" t="s">
        <v>1397</v>
      </c>
      <c r="E309" s="3" t="s">
        <v>6588</v>
      </c>
      <c r="F309" s="3" t="s">
        <v>6589</v>
      </c>
    </row>
    <row r="310" spans="1:6" x14ac:dyDescent="0.35">
      <c r="A310" s="5">
        <f t="shared" ca="1" si="4"/>
        <v>44869</v>
      </c>
      <c r="B310" s="3" t="s">
        <v>1398</v>
      </c>
      <c r="C310" s="3" t="s">
        <v>1399</v>
      </c>
      <c r="D310" s="3" t="s">
        <v>1400</v>
      </c>
      <c r="E310" s="3" t="s">
        <v>6590</v>
      </c>
      <c r="F310" s="3" t="s">
        <v>6591</v>
      </c>
    </row>
    <row r="311" spans="1:6" x14ac:dyDescent="0.35">
      <c r="A311" s="5">
        <f t="shared" ca="1" si="4"/>
        <v>44870</v>
      </c>
      <c r="B311" s="3" t="s">
        <v>1401</v>
      </c>
      <c r="C311" s="3" t="s">
        <v>1402</v>
      </c>
      <c r="D311" s="3" t="s">
        <v>1403</v>
      </c>
      <c r="E311" s="3" t="s">
        <v>6592</v>
      </c>
      <c r="F311" s="3" t="s">
        <v>6593</v>
      </c>
    </row>
    <row r="312" spans="1:6" x14ac:dyDescent="0.35">
      <c r="A312" s="5">
        <f t="shared" ca="1" si="4"/>
        <v>44871</v>
      </c>
      <c r="B312" s="3" t="s">
        <v>1404</v>
      </c>
      <c r="C312" s="3" t="s">
        <v>1405</v>
      </c>
      <c r="D312" s="3" t="s">
        <v>1406</v>
      </c>
      <c r="E312" s="3" t="s">
        <v>6594</v>
      </c>
      <c r="F312" s="3" t="s">
        <v>6595</v>
      </c>
    </row>
    <row r="313" spans="1:6" x14ac:dyDescent="0.35">
      <c r="A313" s="5">
        <f t="shared" ca="1" si="4"/>
        <v>44872</v>
      </c>
      <c r="B313" s="3" t="s">
        <v>1407</v>
      </c>
      <c r="C313" s="3" t="s">
        <v>1408</v>
      </c>
      <c r="D313" s="3" t="s">
        <v>1409</v>
      </c>
      <c r="E313" s="3" t="s">
        <v>6596</v>
      </c>
      <c r="F313" s="3" t="s">
        <v>6597</v>
      </c>
    </row>
    <row r="314" spans="1:6" x14ac:dyDescent="0.35">
      <c r="A314" s="5">
        <f t="shared" ca="1" si="4"/>
        <v>44873</v>
      </c>
      <c r="B314" s="3" t="s">
        <v>1410</v>
      </c>
      <c r="C314" s="3" t="s">
        <v>1411</v>
      </c>
      <c r="D314" s="3" t="s">
        <v>1412</v>
      </c>
      <c r="E314" s="3" t="s">
        <v>6598</v>
      </c>
      <c r="F314" s="3" t="s">
        <v>6599</v>
      </c>
    </row>
    <row r="315" spans="1:6" x14ac:dyDescent="0.35">
      <c r="A315" s="5">
        <f t="shared" ca="1" si="4"/>
        <v>44874</v>
      </c>
      <c r="B315" s="3" t="s">
        <v>1413</v>
      </c>
      <c r="C315" s="3" t="s">
        <v>1414</v>
      </c>
      <c r="D315" s="3" t="s">
        <v>1415</v>
      </c>
      <c r="E315" s="3" t="s">
        <v>6600</v>
      </c>
      <c r="F315" s="3" t="s">
        <v>6601</v>
      </c>
    </row>
    <row r="316" spans="1:6" x14ac:dyDescent="0.35">
      <c r="A316" s="5">
        <f t="shared" ca="1" si="4"/>
        <v>44875</v>
      </c>
      <c r="B316" s="3" t="s">
        <v>1416</v>
      </c>
      <c r="C316" s="3" t="s">
        <v>1417</v>
      </c>
      <c r="D316" s="3" t="s">
        <v>1418</v>
      </c>
      <c r="E316" s="3" t="s">
        <v>6602</v>
      </c>
      <c r="F316" s="3" t="s">
        <v>6603</v>
      </c>
    </row>
    <row r="317" spans="1:6" x14ac:dyDescent="0.35">
      <c r="A317" s="5">
        <f t="shared" ca="1" si="4"/>
        <v>44876</v>
      </c>
      <c r="B317" s="3" t="s">
        <v>1419</v>
      </c>
      <c r="C317" s="3" t="s">
        <v>1420</v>
      </c>
      <c r="D317" s="3" t="s">
        <v>1421</v>
      </c>
      <c r="E317" s="3" t="s">
        <v>6604</v>
      </c>
      <c r="F317" s="3" t="s">
        <v>6605</v>
      </c>
    </row>
    <row r="318" spans="1:6" x14ac:dyDescent="0.35">
      <c r="A318" s="5">
        <f t="shared" ca="1" si="4"/>
        <v>44877</v>
      </c>
      <c r="B318" s="3" t="s">
        <v>1422</v>
      </c>
      <c r="C318" s="3" t="s">
        <v>1423</v>
      </c>
      <c r="D318" s="3" t="s">
        <v>1424</v>
      </c>
      <c r="E318" s="3" t="s">
        <v>6606</v>
      </c>
      <c r="F318" s="3" t="s">
        <v>6607</v>
      </c>
    </row>
    <row r="319" spans="1:6" x14ac:dyDescent="0.35">
      <c r="A319" s="5">
        <f t="shared" ca="1" si="4"/>
        <v>44878</v>
      </c>
      <c r="B319" s="3" t="s">
        <v>1425</v>
      </c>
      <c r="C319" s="3" t="s">
        <v>1426</v>
      </c>
      <c r="D319" s="3" t="s">
        <v>1427</v>
      </c>
      <c r="E319" s="3" t="s">
        <v>6608</v>
      </c>
      <c r="F319" s="3" t="s">
        <v>6609</v>
      </c>
    </row>
    <row r="320" spans="1:6" x14ac:dyDescent="0.35">
      <c r="A320" s="5">
        <f t="shared" ca="1" si="4"/>
        <v>44879</v>
      </c>
      <c r="B320" s="3" t="s">
        <v>1428</v>
      </c>
      <c r="C320" s="3" t="s">
        <v>1429</v>
      </c>
      <c r="D320" s="3" t="s">
        <v>1430</v>
      </c>
      <c r="E320" s="3" t="s">
        <v>6610</v>
      </c>
      <c r="F320" s="3" t="s">
        <v>6611</v>
      </c>
    </row>
    <row r="321" spans="1:6" x14ac:dyDescent="0.35">
      <c r="A321" s="5">
        <f t="shared" ca="1" si="4"/>
        <v>44880</v>
      </c>
      <c r="B321" s="3" t="s">
        <v>1431</v>
      </c>
      <c r="C321" s="3" t="s">
        <v>1432</v>
      </c>
      <c r="D321" s="3" t="s">
        <v>1433</v>
      </c>
      <c r="E321" s="3" t="s">
        <v>6612</v>
      </c>
      <c r="F321" s="3" t="s">
        <v>6613</v>
      </c>
    </row>
    <row r="322" spans="1:6" x14ac:dyDescent="0.35">
      <c r="A322" s="5">
        <f t="shared" ca="1" si="4"/>
        <v>44881</v>
      </c>
      <c r="B322" s="3" t="s">
        <v>1434</v>
      </c>
      <c r="C322" s="3" t="s">
        <v>1435</v>
      </c>
      <c r="D322" s="3" t="s">
        <v>1436</v>
      </c>
      <c r="E322" s="3" t="s">
        <v>6614</v>
      </c>
      <c r="F322" s="3" t="s">
        <v>6615</v>
      </c>
    </row>
    <row r="323" spans="1:6" x14ac:dyDescent="0.35">
      <c r="A323" s="5">
        <f t="shared" ca="1" si="4"/>
        <v>44882</v>
      </c>
      <c r="B323" s="3" t="s">
        <v>1437</v>
      </c>
      <c r="C323" s="3" t="s">
        <v>1438</v>
      </c>
      <c r="D323" s="3" t="s">
        <v>1439</v>
      </c>
      <c r="E323" s="3" t="s">
        <v>6616</v>
      </c>
      <c r="F323" s="3" t="s">
        <v>6617</v>
      </c>
    </row>
    <row r="324" spans="1:6" x14ac:dyDescent="0.35">
      <c r="A324" s="5">
        <f t="shared" ca="1" si="4"/>
        <v>44883</v>
      </c>
      <c r="B324" s="3" t="s">
        <v>1440</v>
      </c>
      <c r="C324" s="3" t="s">
        <v>1441</v>
      </c>
      <c r="D324" s="3" t="s">
        <v>1442</v>
      </c>
      <c r="E324" s="3" t="s">
        <v>6618</v>
      </c>
      <c r="F324" s="3" t="s">
        <v>6619</v>
      </c>
    </row>
    <row r="325" spans="1:6" x14ac:dyDescent="0.35">
      <c r="A325" s="5">
        <f t="shared" ref="A325:A388" ca="1" si="5">A324+1</f>
        <v>44884</v>
      </c>
      <c r="B325" s="3" t="s">
        <v>1443</v>
      </c>
      <c r="C325" s="3" t="s">
        <v>1444</v>
      </c>
      <c r="D325" s="3" t="s">
        <v>1445</v>
      </c>
      <c r="E325" s="3" t="s">
        <v>6620</v>
      </c>
      <c r="F325" s="3" t="s">
        <v>6621</v>
      </c>
    </row>
    <row r="326" spans="1:6" x14ac:dyDescent="0.35">
      <c r="A326" s="5">
        <f t="shared" ca="1" si="5"/>
        <v>44885</v>
      </c>
      <c r="B326" s="3" t="s">
        <v>1446</v>
      </c>
      <c r="C326" s="3" t="s">
        <v>1447</v>
      </c>
      <c r="D326" s="3" t="s">
        <v>1448</v>
      </c>
      <c r="E326" s="3" t="s">
        <v>6622</v>
      </c>
      <c r="F326" s="3" t="s">
        <v>6623</v>
      </c>
    </row>
    <row r="327" spans="1:6" x14ac:dyDescent="0.35">
      <c r="A327" s="5">
        <f t="shared" ca="1" si="5"/>
        <v>44886</v>
      </c>
      <c r="B327" s="3" t="s">
        <v>1449</v>
      </c>
      <c r="C327" s="3" t="s">
        <v>1450</v>
      </c>
      <c r="D327" s="3" t="s">
        <v>1451</v>
      </c>
      <c r="E327" s="3" t="s">
        <v>6624</v>
      </c>
      <c r="F327" s="3" t="s">
        <v>6625</v>
      </c>
    </row>
    <row r="328" spans="1:6" x14ac:dyDescent="0.35">
      <c r="A328" s="5">
        <f t="shared" ca="1" si="5"/>
        <v>44887</v>
      </c>
      <c r="B328" s="3" t="s">
        <v>1452</v>
      </c>
      <c r="C328" s="3" t="s">
        <v>1453</v>
      </c>
      <c r="D328" s="3" t="s">
        <v>1454</v>
      </c>
      <c r="E328" s="3" t="s">
        <v>6626</v>
      </c>
      <c r="F328" s="3" t="s">
        <v>6627</v>
      </c>
    </row>
    <row r="329" spans="1:6" x14ac:dyDescent="0.35">
      <c r="A329" s="5">
        <f t="shared" ca="1" si="5"/>
        <v>44888</v>
      </c>
      <c r="B329" s="3" t="s">
        <v>1455</v>
      </c>
      <c r="C329" s="3" t="s">
        <v>1456</v>
      </c>
      <c r="D329" s="3" t="s">
        <v>1457</v>
      </c>
      <c r="E329" s="3" t="s">
        <v>6628</v>
      </c>
      <c r="F329" s="3" t="s">
        <v>6629</v>
      </c>
    </row>
    <row r="330" spans="1:6" x14ac:dyDescent="0.35">
      <c r="A330" s="5">
        <f t="shared" ca="1" si="5"/>
        <v>44889</v>
      </c>
      <c r="B330" s="3" t="s">
        <v>1458</v>
      </c>
      <c r="C330" s="3" t="s">
        <v>1459</v>
      </c>
      <c r="D330" s="3" t="s">
        <v>1460</v>
      </c>
      <c r="E330" s="3" t="s">
        <v>6630</v>
      </c>
      <c r="F330" s="3" t="s">
        <v>6631</v>
      </c>
    </row>
    <row r="331" spans="1:6" x14ac:dyDescent="0.35">
      <c r="A331" s="5">
        <f t="shared" ca="1" si="5"/>
        <v>44890</v>
      </c>
      <c r="B331" s="3" t="s">
        <v>1461</v>
      </c>
      <c r="C331" s="3" t="s">
        <v>1462</v>
      </c>
      <c r="D331" s="3" t="s">
        <v>1463</v>
      </c>
      <c r="E331" s="3" t="s">
        <v>6632</v>
      </c>
      <c r="F331" s="3" t="s">
        <v>6633</v>
      </c>
    </row>
    <row r="332" spans="1:6" x14ac:dyDescent="0.35">
      <c r="A332" s="5">
        <f t="shared" ca="1" si="5"/>
        <v>44891</v>
      </c>
      <c r="B332" s="3" t="s">
        <v>1464</v>
      </c>
      <c r="C332" s="3" t="s">
        <v>1465</v>
      </c>
      <c r="D332" s="3" t="s">
        <v>1466</v>
      </c>
      <c r="E332" s="3" t="s">
        <v>6634</v>
      </c>
      <c r="F332" s="3" t="s">
        <v>6635</v>
      </c>
    </row>
    <row r="333" spans="1:6" x14ac:dyDescent="0.35">
      <c r="A333" s="5">
        <f t="shared" ca="1" si="5"/>
        <v>44892</v>
      </c>
      <c r="B333" s="3" t="s">
        <v>1467</v>
      </c>
      <c r="C333" s="3" t="s">
        <v>1468</v>
      </c>
      <c r="D333" s="3" t="s">
        <v>1469</v>
      </c>
      <c r="E333" s="3" t="s">
        <v>6636</v>
      </c>
      <c r="F333" s="3" t="s">
        <v>6637</v>
      </c>
    </row>
    <row r="334" spans="1:6" x14ac:dyDescent="0.35">
      <c r="A334" s="5">
        <f t="shared" ca="1" si="5"/>
        <v>44893</v>
      </c>
      <c r="B334" s="3" t="s">
        <v>1470</v>
      </c>
      <c r="C334" s="3" t="s">
        <v>1471</v>
      </c>
      <c r="D334" s="3" t="s">
        <v>1472</v>
      </c>
      <c r="E334" s="3" t="s">
        <v>6638</v>
      </c>
      <c r="F334" s="3" t="s">
        <v>6639</v>
      </c>
    </row>
    <row r="335" spans="1:6" x14ac:dyDescent="0.35">
      <c r="A335" s="5">
        <f t="shared" ca="1" si="5"/>
        <v>44894</v>
      </c>
      <c r="B335" s="3" t="s">
        <v>1473</v>
      </c>
      <c r="C335" s="3" t="s">
        <v>1474</v>
      </c>
      <c r="D335" s="3" t="s">
        <v>1475</v>
      </c>
      <c r="E335" s="3" t="s">
        <v>6640</v>
      </c>
      <c r="F335" s="3" t="s">
        <v>6641</v>
      </c>
    </row>
    <row r="336" spans="1:6" x14ac:dyDescent="0.35">
      <c r="A336" s="5">
        <f t="shared" ca="1" si="5"/>
        <v>44895</v>
      </c>
      <c r="B336" s="3" t="s">
        <v>1476</v>
      </c>
      <c r="C336" s="3" t="s">
        <v>1477</v>
      </c>
      <c r="D336" s="3" t="s">
        <v>1478</v>
      </c>
      <c r="E336" s="3" t="s">
        <v>6642</v>
      </c>
      <c r="F336" s="3" t="s">
        <v>6643</v>
      </c>
    </row>
    <row r="337" spans="1:6" x14ac:dyDescent="0.35">
      <c r="A337" s="5">
        <f t="shared" ca="1" si="5"/>
        <v>44896</v>
      </c>
      <c r="B337" s="3" t="s">
        <v>1479</v>
      </c>
      <c r="C337" s="3" t="s">
        <v>1480</v>
      </c>
      <c r="D337" s="3" t="s">
        <v>1481</v>
      </c>
      <c r="E337" s="3" t="s">
        <v>6644</v>
      </c>
      <c r="F337" s="3" t="s">
        <v>6645</v>
      </c>
    </row>
    <row r="338" spans="1:6" x14ac:dyDescent="0.35">
      <c r="A338" s="5">
        <f t="shared" ca="1" si="5"/>
        <v>44897</v>
      </c>
      <c r="B338" s="3" t="s">
        <v>1482</v>
      </c>
      <c r="C338" s="3" t="s">
        <v>1483</v>
      </c>
      <c r="D338" s="3" t="s">
        <v>1484</v>
      </c>
      <c r="E338" s="3" t="s">
        <v>6646</v>
      </c>
      <c r="F338" s="3" t="s">
        <v>6647</v>
      </c>
    </row>
    <row r="339" spans="1:6" x14ac:dyDescent="0.35">
      <c r="A339" s="5">
        <f t="shared" ca="1" si="5"/>
        <v>44898</v>
      </c>
      <c r="B339" s="3" t="s">
        <v>1485</v>
      </c>
      <c r="C339" s="3" t="s">
        <v>1486</v>
      </c>
      <c r="D339" s="3" t="s">
        <v>1487</v>
      </c>
      <c r="E339" s="3" t="s">
        <v>6648</v>
      </c>
      <c r="F339" s="3" t="s">
        <v>6649</v>
      </c>
    </row>
    <row r="340" spans="1:6" x14ac:dyDescent="0.35">
      <c r="A340" s="5">
        <f t="shared" ca="1" si="5"/>
        <v>44899</v>
      </c>
      <c r="B340" s="3" t="s">
        <v>1488</v>
      </c>
      <c r="C340" s="3" t="s">
        <v>1489</v>
      </c>
      <c r="D340" s="3" t="s">
        <v>1490</v>
      </c>
      <c r="E340" s="3" t="s">
        <v>6650</v>
      </c>
      <c r="F340" s="3" t="s">
        <v>6651</v>
      </c>
    </row>
    <row r="341" spans="1:6" x14ac:dyDescent="0.35">
      <c r="A341" s="5">
        <f t="shared" ca="1" si="5"/>
        <v>44900</v>
      </c>
      <c r="B341" s="3" t="s">
        <v>1491</v>
      </c>
      <c r="C341" s="3" t="s">
        <v>1492</v>
      </c>
      <c r="D341" s="3" t="s">
        <v>1493</v>
      </c>
      <c r="E341" s="3" t="s">
        <v>6652</v>
      </c>
      <c r="F341" s="3" t="s">
        <v>6653</v>
      </c>
    </row>
    <row r="342" spans="1:6" x14ac:dyDescent="0.35">
      <c r="A342" s="5">
        <f t="shared" ca="1" si="5"/>
        <v>44901</v>
      </c>
      <c r="B342" s="3" t="s">
        <v>1494</v>
      </c>
      <c r="C342" s="3" t="s">
        <v>1495</v>
      </c>
      <c r="D342" s="3" t="s">
        <v>1496</v>
      </c>
      <c r="E342" s="3" t="s">
        <v>6654</v>
      </c>
      <c r="F342" s="3" t="s">
        <v>6655</v>
      </c>
    </row>
    <row r="343" spans="1:6" x14ac:dyDescent="0.35">
      <c r="A343" s="5">
        <f t="shared" ca="1" si="5"/>
        <v>44902</v>
      </c>
      <c r="B343" s="3" t="s">
        <v>1497</v>
      </c>
      <c r="C343" s="3" t="s">
        <v>1498</v>
      </c>
      <c r="D343" s="3" t="s">
        <v>1499</v>
      </c>
      <c r="E343" s="3" t="s">
        <v>6656</v>
      </c>
      <c r="F343" s="3" t="s">
        <v>6657</v>
      </c>
    </row>
    <row r="344" spans="1:6" x14ac:dyDescent="0.35">
      <c r="A344" s="5">
        <f t="shared" ca="1" si="5"/>
        <v>44903</v>
      </c>
      <c r="B344" s="3" t="s">
        <v>1500</v>
      </c>
      <c r="C344" s="3" t="s">
        <v>1501</v>
      </c>
      <c r="D344" s="3" t="s">
        <v>1502</v>
      </c>
      <c r="E344" s="3" t="s">
        <v>6658</v>
      </c>
      <c r="F344" s="3" t="s">
        <v>6659</v>
      </c>
    </row>
    <row r="345" spans="1:6" x14ac:dyDescent="0.35">
      <c r="A345" s="5">
        <f t="shared" ca="1" si="5"/>
        <v>44904</v>
      </c>
      <c r="B345" s="3" t="s">
        <v>1503</v>
      </c>
      <c r="C345" s="3" t="s">
        <v>1504</v>
      </c>
      <c r="D345" s="3" t="s">
        <v>1505</v>
      </c>
      <c r="E345" s="3" t="s">
        <v>6660</v>
      </c>
      <c r="F345" s="3" t="s">
        <v>6661</v>
      </c>
    </row>
    <row r="346" spans="1:6" x14ac:dyDescent="0.35">
      <c r="A346" s="5">
        <f t="shared" ca="1" si="5"/>
        <v>44905</v>
      </c>
      <c r="B346" s="3" t="s">
        <v>1506</v>
      </c>
      <c r="C346" s="3" t="s">
        <v>1507</v>
      </c>
      <c r="D346" s="3" t="s">
        <v>1508</v>
      </c>
      <c r="E346" s="3" t="s">
        <v>6662</v>
      </c>
      <c r="F346" s="3" t="s">
        <v>6663</v>
      </c>
    </row>
    <row r="347" spans="1:6" x14ac:dyDescent="0.35">
      <c r="A347" s="5">
        <f t="shared" ca="1" si="5"/>
        <v>44906</v>
      </c>
      <c r="B347" s="3" t="s">
        <v>1509</v>
      </c>
      <c r="C347" s="3" t="s">
        <v>1510</v>
      </c>
      <c r="D347" s="3" t="s">
        <v>1511</v>
      </c>
      <c r="E347" s="3" t="s">
        <v>6664</v>
      </c>
      <c r="F347" s="3" t="s">
        <v>6665</v>
      </c>
    </row>
    <row r="348" spans="1:6" x14ac:dyDescent="0.35">
      <c r="A348" s="5">
        <f t="shared" ca="1" si="5"/>
        <v>44907</v>
      </c>
      <c r="B348" s="3" t="s">
        <v>1512</v>
      </c>
      <c r="C348" s="3" t="s">
        <v>1513</v>
      </c>
      <c r="D348" s="3" t="s">
        <v>1514</v>
      </c>
      <c r="E348" s="3" t="s">
        <v>6666</v>
      </c>
      <c r="F348" s="3" t="s">
        <v>6667</v>
      </c>
    </row>
    <row r="349" spans="1:6" x14ac:dyDescent="0.35">
      <c r="A349" s="5">
        <f t="shared" ca="1" si="5"/>
        <v>44908</v>
      </c>
      <c r="B349" s="3" t="s">
        <v>1515</v>
      </c>
      <c r="C349" s="3" t="s">
        <v>1516</v>
      </c>
      <c r="D349" s="3" t="s">
        <v>1517</v>
      </c>
      <c r="E349" s="3" t="s">
        <v>6668</v>
      </c>
      <c r="F349" s="3" t="s">
        <v>6669</v>
      </c>
    </row>
    <row r="350" spans="1:6" x14ac:dyDescent="0.35">
      <c r="A350" s="5">
        <f t="shared" ca="1" si="5"/>
        <v>44909</v>
      </c>
      <c r="B350" s="3" t="s">
        <v>1518</v>
      </c>
      <c r="C350" s="3" t="s">
        <v>1519</v>
      </c>
      <c r="D350" s="3" t="s">
        <v>1520</v>
      </c>
      <c r="E350" s="3" t="s">
        <v>6670</v>
      </c>
      <c r="F350" s="3" t="s">
        <v>6671</v>
      </c>
    </row>
    <row r="351" spans="1:6" x14ac:dyDescent="0.35">
      <c r="A351" s="5">
        <f t="shared" ca="1" si="5"/>
        <v>44910</v>
      </c>
      <c r="B351" s="3" t="s">
        <v>1521</v>
      </c>
      <c r="C351" s="3" t="s">
        <v>1522</v>
      </c>
      <c r="D351" s="3" t="s">
        <v>1523</v>
      </c>
      <c r="E351" s="3" t="s">
        <v>6672</v>
      </c>
      <c r="F351" s="3" t="s">
        <v>6673</v>
      </c>
    </row>
    <row r="352" spans="1:6" x14ac:dyDescent="0.35">
      <c r="A352" s="5">
        <f t="shared" ca="1" si="5"/>
        <v>44911</v>
      </c>
      <c r="B352" s="3" t="s">
        <v>1524</v>
      </c>
      <c r="C352" s="3" t="s">
        <v>1525</v>
      </c>
      <c r="D352" s="3" t="s">
        <v>1526</v>
      </c>
      <c r="E352" s="3" t="s">
        <v>6674</v>
      </c>
      <c r="F352" s="3" t="s">
        <v>6675</v>
      </c>
    </row>
    <row r="353" spans="1:6" x14ac:dyDescent="0.35">
      <c r="A353" s="5">
        <f t="shared" ca="1" si="5"/>
        <v>44912</v>
      </c>
      <c r="B353" s="3" t="s">
        <v>1527</v>
      </c>
      <c r="C353" s="3" t="s">
        <v>1528</v>
      </c>
      <c r="D353" s="3" t="s">
        <v>1529</v>
      </c>
      <c r="E353" s="3" t="s">
        <v>6676</v>
      </c>
      <c r="F353" s="3" t="s">
        <v>6677</v>
      </c>
    </row>
    <row r="354" spans="1:6" x14ac:dyDescent="0.35">
      <c r="A354" s="5">
        <f t="shared" ca="1" si="5"/>
        <v>44913</v>
      </c>
      <c r="B354" s="3" t="s">
        <v>1530</v>
      </c>
      <c r="C354" s="3" t="s">
        <v>1531</v>
      </c>
      <c r="D354" s="3" t="s">
        <v>1532</v>
      </c>
      <c r="E354" s="3" t="s">
        <v>6678</v>
      </c>
      <c r="F354" s="3" t="s">
        <v>6679</v>
      </c>
    </row>
    <row r="355" spans="1:6" x14ac:dyDescent="0.35">
      <c r="A355" s="5">
        <f t="shared" ca="1" si="5"/>
        <v>44914</v>
      </c>
      <c r="B355" s="3" t="s">
        <v>1533</v>
      </c>
      <c r="C355" s="3" t="s">
        <v>1534</v>
      </c>
      <c r="D355" s="3" t="s">
        <v>1535</v>
      </c>
      <c r="E355" s="3" t="s">
        <v>6680</v>
      </c>
      <c r="F355" s="3" t="s">
        <v>6681</v>
      </c>
    </row>
    <row r="356" spans="1:6" x14ac:dyDescent="0.35">
      <c r="A356" s="5">
        <f t="shared" ca="1" si="5"/>
        <v>44915</v>
      </c>
      <c r="B356" s="3" t="s">
        <v>1536</v>
      </c>
      <c r="C356" s="3" t="s">
        <v>1537</v>
      </c>
      <c r="D356" s="3" t="s">
        <v>1538</v>
      </c>
      <c r="E356" s="3" t="s">
        <v>6682</v>
      </c>
      <c r="F356" s="3" t="s">
        <v>6683</v>
      </c>
    </row>
    <row r="357" spans="1:6" x14ac:dyDescent="0.35">
      <c r="A357" s="5">
        <f t="shared" ca="1" si="5"/>
        <v>44916</v>
      </c>
      <c r="B357" s="3" t="s">
        <v>1539</v>
      </c>
      <c r="C357" s="3" t="s">
        <v>1540</v>
      </c>
      <c r="D357" s="3" t="s">
        <v>1541</v>
      </c>
      <c r="E357" s="3" t="s">
        <v>6684</v>
      </c>
      <c r="F357" s="3" t="s">
        <v>6685</v>
      </c>
    </row>
    <row r="358" spans="1:6" x14ac:dyDescent="0.35">
      <c r="A358" s="5">
        <f t="shared" ca="1" si="5"/>
        <v>44917</v>
      </c>
      <c r="B358" s="3" t="s">
        <v>1542</v>
      </c>
      <c r="C358" s="3" t="s">
        <v>1543</v>
      </c>
      <c r="D358" s="3" t="s">
        <v>1544</v>
      </c>
      <c r="E358" s="3" t="s">
        <v>6686</v>
      </c>
      <c r="F358" s="3" t="s">
        <v>6687</v>
      </c>
    </row>
    <row r="359" spans="1:6" x14ac:dyDescent="0.35">
      <c r="A359" s="5">
        <f t="shared" ca="1" si="5"/>
        <v>44918</v>
      </c>
      <c r="B359" s="3" t="s">
        <v>1545</v>
      </c>
      <c r="C359" s="3" t="s">
        <v>1546</v>
      </c>
      <c r="D359" s="3" t="s">
        <v>1547</v>
      </c>
      <c r="E359" s="3" t="s">
        <v>6688</v>
      </c>
      <c r="F359" s="3" t="s">
        <v>6689</v>
      </c>
    </row>
    <row r="360" spans="1:6" x14ac:dyDescent="0.35">
      <c r="A360" s="5">
        <f t="shared" ca="1" si="5"/>
        <v>44919</v>
      </c>
      <c r="B360" s="3" t="s">
        <v>1548</v>
      </c>
      <c r="C360" s="3" t="s">
        <v>1549</v>
      </c>
      <c r="D360" s="3" t="s">
        <v>1550</v>
      </c>
      <c r="E360" s="3" t="s">
        <v>6690</v>
      </c>
      <c r="F360" s="3" t="s">
        <v>6691</v>
      </c>
    </row>
    <row r="361" spans="1:6" x14ac:dyDescent="0.35">
      <c r="A361" s="5">
        <f t="shared" ca="1" si="5"/>
        <v>44920</v>
      </c>
      <c r="B361" s="3" t="s">
        <v>1551</v>
      </c>
      <c r="C361" s="3" t="s">
        <v>1552</v>
      </c>
      <c r="D361" s="3" t="s">
        <v>1553</v>
      </c>
      <c r="E361" s="3" t="s">
        <v>6692</v>
      </c>
      <c r="F361" s="3" t="s">
        <v>6693</v>
      </c>
    </row>
    <row r="362" spans="1:6" x14ac:dyDescent="0.35">
      <c r="A362" s="5">
        <f t="shared" ca="1" si="5"/>
        <v>44921</v>
      </c>
      <c r="B362" s="3" t="s">
        <v>1554</v>
      </c>
      <c r="C362" s="3" t="s">
        <v>1555</v>
      </c>
      <c r="D362" s="3" t="s">
        <v>1556</v>
      </c>
      <c r="E362" s="3" t="s">
        <v>6694</v>
      </c>
      <c r="F362" s="3" t="s">
        <v>6695</v>
      </c>
    </row>
    <row r="363" spans="1:6" x14ac:dyDescent="0.35">
      <c r="A363" s="5">
        <f t="shared" ca="1" si="5"/>
        <v>44922</v>
      </c>
      <c r="B363" s="3" t="s">
        <v>1557</v>
      </c>
      <c r="C363" s="3" t="s">
        <v>1558</v>
      </c>
      <c r="D363" s="3" t="s">
        <v>1559</v>
      </c>
      <c r="E363" s="3" t="s">
        <v>6696</v>
      </c>
      <c r="F363" s="3" t="s">
        <v>6697</v>
      </c>
    </row>
    <row r="364" spans="1:6" x14ac:dyDescent="0.35">
      <c r="A364" s="5">
        <f t="shared" ca="1" si="5"/>
        <v>44923</v>
      </c>
      <c r="B364" s="3" t="s">
        <v>1560</v>
      </c>
      <c r="C364" s="3" t="s">
        <v>1561</v>
      </c>
      <c r="D364" s="3" t="s">
        <v>1562</v>
      </c>
      <c r="E364" s="3" t="s">
        <v>6698</v>
      </c>
      <c r="F364" s="3" t="s">
        <v>6699</v>
      </c>
    </row>
    <row r="365" spans="1:6" x14ac:dyDescent="0.35">
      <c r="A365" s="5">
        <f t="shared" ca="1" si="5"/>
        <v>44924</v>
      </c>
      <c r="B365" s="3" t="s">
        <v>1563</v>
      </c>
      <c r="C365" s="3" t="s">
        <v>1564</v>
      </c>
      <c r="D365" s="3" t="s">
        <v>1565</v>
      </c>
      <c r="E365" s="3" t="s">
        <v>6700</v>
      </c>
      <c r="F365" s="3" t="s">
        <v>6701</v>
      </c>
    </row>
    <row r="366" spans="1:6" x14ac:dyDescent="0.35">
      <c r="A366" s="5">
        <f t="shared" ca="1" si="5"/>
        <v>44925</v>
      </c>
      <c r="B366" s="3" t="s">
        <v>1566</v>
      </c>
      <c r="C366" s="3" t="s">
        <v>1567</v>
      </c>
      <c r="D366" s="3" t="s">
        <v>1568</v>
      </c>
      <c r="E366" s="3" t="s">
        <v>6702</v>
      </c>
      <c r="F366" s="3" t="s">
        <v>6703</v>
      </c>
    </row>
    <row r="367" spans="1:6" x14ac:dyDescent="0.35">
      <c r="A367" s="5">
        <f t="shared" ca="1" si="5"/>
        <v>44926</v>
      </c>
      <c r="B367" s="3" t="s">
        <v>1569</v>
      </c>
      <c r="C367" s="3" t="s">
        <v>1570</v>
      </c>
      <c r="D367" s="3" t="s">
        <v>1571</v>
      </c>
      <c r="E367" s="3" t="s">
        <v>6704</v>
      </c>
      <c r="F367" s="3" t="s">
        <v>6705</v>
      </c>
    </row>
    <row r="368" spans="1:6" x14ac:dyDescent="0.35">
      <c r="A368" s="5">
        <f t="shared" ca="1" si="5"/>
        <v>44927</v>
      </c>
      <c r="B368" s="3" t="s">
        <v>1572</v>
      </c>
      <c r="C368" s="3" t="s">
        <v>1573</v>
      </c>
      <c r="D368" s="3" t="s">
        <v>1574</v>
      </c>
      <c r="E368" s="3" t="s">
        <v>6706</v>
      </c>
      <c r="F368" s="3" t="s">
        <v>6707</v>
      </c>
    </row>
    <row r="369" spans="1:6" x14ac:dyDescent="0.35">
      <c r="A369" s="5">
        <f t="shared" ca="1" si="5"/>
        <v>44928</v>
      </c>
      <c r="B369" s="3" t="s">
        <v>1575</v>
      </c>
      <c r="C369" s="3" t="s">
        <v>1576</v>
      </c>
      <c r="D369" s="3" t="s">
        <v>1577</v>
      </c>
      <c r="E369" s="3" t="s">
        <v>6708</v>
      </c>
      <c r="F369" s="3" t="s">
        <v>6709</v>
      </c>
    </row>
    <row r="370" spans="1:6" x14ac:dyDescent="0.35">
      <c r="A370" s="5">
        <f t="shared" ca="1" si="5"/>
        <v>44929</v>
      </c>
      <c r="B370" s="3" t="s">
        <v>1578</v>
      </c>
      <c r="C370" s="3" t="s">
        <v>1579</v>
      </c>
      <c r="D370" s="3" t="s">
        <v>1580</v>
      </c>
      <c r="E370" s="3" t="s">
        <v>6710</v>
      </c>
      <c r="F370" s="3" t="s">
        <v>6711</v>
      </c>
    </row>
    <row r="371" spans="1:6" x14ac:dyDescent="0.35">
      <c r="A371" s="5">
        <f t="shared" ca="1" si="5"/>
        <v>44930</v>
      </c>
      <c r="B371" s="3" t="s">
        <v>1581</v>
      </c>
      <c r="C371" s="3" t="s">
        <v>1582</v>
      </c>
      <c r="D371" s="3" t="s">
        <v>1583</v>
      </c>
      <c r="E371" s="3" t="s">
        <v>6712</v>
      </c>
      <c r="F371" s="3" t="s">
        <v>6713</v>
      </c>
    </row>
    <row r="372" spans="1:6" x14ac:dyDescent="0.35">
      <c r="A372" s="5">
        <f t="shared" ca="1" si="5"/>
        <v>44931</v>
      </c>
      <c r="B372" s="3" t="s">
        <v>1584</v>
      </c>
      <c r="C372" s="3" t="s">
        <v>1585</v>
      </c>
      <c r="D372" s="3" t="s">
        <v>1586</v>
      </c>
      <c r="E372" s="3" t="s">
        <v>6714</v>
      </c>
      <c r="F372" s="3" t="s">
        <v>6715</v>
      </c>
    </row>
    <row r="373" spans="1:6" x14ac:dyDescent="0.35">
      <c r="A373" s="5">
        <f t="shared" ca="1" si="5"/>
        <v>44932</v>
      </c>
      <c r="B373" s="3" t="s">
        <v>1587</v>
      </c>
      <c r="C373" s="3" t="s">
        <v>1588</v>
      </c>
      <c r="D373" s="3" t="s">
        <v>1589</v>
      </c>
      <c r="E373" s="3" t="s">
        <v>6716</v>
      </c>
      <c r="F373" s="3" t="s">
        <v>6717</v>
      </c>
    </row>
    <row r="374" spans="1:6" x14ac:dyDescent="0.35">
      <c r="A374" s="5">
        <f t="shared" ca="1" si="5"/>
        <v>44933</v>
      </c>
      <c r="B374" s="3" t="s">
        <v>1590</v>
      </c>
      <c r="C374" s="3" t="s">
        <v>1591</v>
      </c>
      <c r="D374" s="3" t="s">
        <v>1592</v>
      </c>
      <c r="E374" s="3" t="s">
        <v>6718</v>
      </c>
      <c r="F374" s="3" t="s">
        <v>6719</v>
      </c>
    </row>
    <row r="375" spans="1:6" x14ac:dyDescent="0.35">
      <c r="A375" s="5">
        <f t="shared" ca="1" si="5"/>
        <v>44934</v>
      </c>
      <c r="B375" s="3" t="s">
        <v>1593</v>
      </c>
      <c r="C375" s="3" t="s">
        <v>1594</v>
      </c>
      <c r="D375" s="3" t="s">
        <v>1595</v>
      </c>
      <c r="E375" s="3" t="s">
        <v>6720</v>
      </c>
      <c r="F375" s="3" t="s">
        <v>6721</v>
      </c>
    </row>
    <row r="376" spans="1:6" x14ac:dyDescent="0.35">
      <c r="A376" s="5">
        <f t="shared" ca="1" si="5"/>
        <v>44935</v>
      </c>
      <c r="B376" s="3" t="s">
        <v>1596</v>
      </c>
      <c r="C376" s="3" t="s">
        <v>1597</v>
      </c>
      <c r="D376" s="3" t="s">
        <v>1598</v>
      </c>
      <c r="E376" s="3" t="s">
        <v>6722</v>
      </c>
      <c r="F376" s="3" t="s">
        <v>6723</v>
      </c>
    </row>
    <row r="377" spans="1:6" x14ac:dyDescent="0.35">
      <c r="A377" s="5">
        <f t="shared" ca="1" si="5"/>
        <v>44936</v>
      </c>
      <c r="B377" s="3" t="s">
        <v>1599</v>
      </c>
      <c r="C377" s="3" t="s">
        <v>1600</v>
      </c>
      <c r="D377" s="3" t="s">
        <v>1601</v>
      </c>
      <c r="E377" s="3" t="s">
        <v>6724</v>
      </c>
      <c r="F377" s="3" t="s">
        <v>6725</v>
      </c>
    </row>
    <row r="378" spans="1:6" x14ac:dyDescent="0.35">
      <c r="A378" s="5">
        <f t="shared" ca="1" si="5"/>
        <v>44937</v>
      </c>
      <c r="B378" s="3" t="s">
        <v>1602</v>
      </c>
      <c r="C378" s="3" t="s">
        <v>1603</v>
      </c>
      <c r="D378" s="3" t="s">
        <v>1604</v>
      </c>
      <c r="E378" s="3" t="s">
        <v>6726</v>
      </c>
      <c r="F378" s="3" t="s">
        <v>6727</v>
      </c>
    </row>
    <row r="379" spans="1:6" x14ac:dyDescent="0.35">
      <c r="A379" s="5">
        <f t="shared" ca="1" si="5"/>
        <v>44938</v>
      </c>
      <c r="B379" s="3" t="s">
        <v>1605</v>
      </c>
      <c r="C379" s="3" t="s">
        <v>1606</v>
      </c>
      <c r="D379" s="3" t="s">
        <v>1607</v>
      </c>
      <c r="E379" s="3" t="s">
        <v>6728</v>
      </c>
      <c r="F379" s="3" t="s">
        <v>6729</v>
      </c>
    </row>
    <row r="380" spans="1:6" x14ac:dyDescent="0.35">
      <c r="A380" s="5">
        <f t="shared" ca="1" si="5"/>
        <v>44939</v>
      </c>
      <c r="B380" s="3" t="s">
        <v>1608</v>
      </c>
      <c r="C380" s="3" t="s">
        <v>1609</v>
      </c>
      <c r="D380" s="3" t="s">
        <v>1610</v>
      </c>
      <c r="E380" s="3" t="s">
        <v>6730</v>
      </c>
      <c r="F380" s="3" t="s">
        <v>6731</v>
      </c>
    </row>
    <row r="381" spans="1:6" x14ac:dyDescent="0.35">
      <c r="A381" s="5">
        <f t="shared" ca="1" si="5"/>
        <v>44940</v>
      </c>
      <c r="B381" s="3" t="s">
        <v>1611</v>
      </c>
      <c r="C381" s="3" t="s">
        <v>1612</v>
      </c>
      <c r="D381" s="3" t="s">
        <v>1613</v>
      </c>
      <c r="E381" s="3" t="s">
        <v>6732</v>
      </c>
      <c r="F381" s="3" t="s">
        <v>6733</v>
      </c>
    </row>
    <row r="382" spans="1:6" x14ac:dyDescent="0.35">
      <c r="A382" s="5">
        <f t="shared" ca="1" si="5"/>
        <v>44941</v>
      </c>
      <c r="B382" s="3" t="s">
        <v>1614</v>
      </c>
      <c r="C382" s="3" t="s">
        <v>1615</v>
      </c>
      <c r="D382" s="3" t="s">
        <v>1616</v>
      </c>
      <c r="E382" s="3" t="s">
        <v>6734</v>
      </c>
      <c r="F382" s="3" t="s">
        <v>6735</v>
      </c>
    </row>
    <row r="383" spans="1:6" x14ac:dyDescent="0.35">
      <c r="A383" s="5">
        <f t="shared" ca="1" si="5"/>
        <v>44942</v>
      </c>
      <c r="B383" s="3" t="s">
        <v>1617</v>
      </c>
      <c r="C383" s="3" t="s">
        <v>1618</v>
      </c>
      <c r="D383" s="3" t="s">
        <v>1619</v>
      </c>
      <c r="E383" s="3" t="s">
        <v>6736</v>
      </c>
      <c r="F383" s="3" t="s">
        <v>6737</v>
      </c>
    </row>
    <row r="384" spans="1:6" x14ac:dyDescent="0.35">
      <c r="A384" s="5">
        <f t="shared" ca="1" si="5"/>
        <v>44943</v>
      </c>
      <c r="B384" s="3" t="s">
        <v>1620</v>
      </c>
      <c r="C384" s="3" t="s">
        <v>1621</v>
      </c>
      <c r="D384" s="3" t="s">
        <v>1622</v>
      </c>
      <c r="E384" s="3" t="s">
        <v>6738</v>
      </c>
      <c r="F384" s="3" t="s">
        <v>6739</v>
      </c>
    </row>
    <row r="385" spans="1:6" x14ac:dyDescent="0.35">
      <c r="A385" s="5">
        <f t="shared" ca="1" si="5"/>
        <v>44944</v>
      </c>
      <c r="B385" s="3" t="s">
        <v>1623</v>
      </c>
      <c r="C385" s="3" t="s">
        <v>1624</v>
      </c>
      <c r="D385" s="3" t="s">
        <v>1625</v>
      </c>
      <c r="E385" s="3" t="s">
        <v>6740</v>
      </c>
      <c r="F385" s="3" t="s">
        <v>6741</v>
      </c>
    </row>
    <row r="386" spans="1:6" x14ac:dyDescent="0.35">
      <c r="A386" s="5">
        <f t="shared" ca="1" si="5"/>
        <v>44945</v>
      </c>
      <c r="B386" s="3" t="s">
        <v>1626</v>
      </c>
      <c r="C386" s="3" t="s">
        <v>1627</v>
      </c>
      <c r="D386" s="3" t="s">
        <v>1628</v>
      </c>
      <c r="E386" s="3" t="s">
        <v>6742</v>
      </c>
      <c r="F386" s="3" t="s">
        <v>6743</v>
      </c>
    </row>
    <row r="387" spans="1:6" x14ac:dyDescent="0.35">
      <c r="A387" s="5">
        <f t="shared" ca="1" si="5"/>
        <v>44946</v>
      </c>
      <c r="B387" s="3" t="s">
        <v>1629</v>
      </c>
      <c r="C387" s="3" t="s">
        <v>1630</v>
      </c>
      <c r="D387" s="3" t="s">
        <v>1631</v>
      </c>
      <c r="E387" s="3" t="s">
        <v>6744</v>
      </c>
      <c r="F387" s="3" t="s">
        <v>6745</v>
      </c>
    </row>
    <row r="388" spans="1:6" x14ac:dyDescent="0.35">
      <c r="A388" s="5">
        <f t="shared" ca="1" si="5"/>
        <v>44947</v>
      </c>
      <c r="B388" s="3" t="s">
        <v>1632</v>
      </c>
      <c r="C388" s="3" t="s">
        <v>1633</v>
      </c>
      <c r="D388" s="3" t="s">
        <v>1634</v>
      </c>
      <c r="E388" s="3" t="s">
        <v>6746</v>
      </c>
      <c r="F388" s="3" t="s">
        <v>6747</v>
      </c>
    </row>
    <row r="389" spans="1:6" x14ac:dyDescent="0.35">
      <c r="A389" s="5">
        <f t="shared" ref="A389:A452" ca="1" si="6">A388+1</f>
        <v>44948</v>
      </c>
      <c r="B389" s="3" t="s">
        <v>1635</v>
      </c>
      <c r="C389" s="3" t="s">
        <v>1636</v>
      </c>
      <c r="D389" s="3" t="s">
        <v>1637</v>
      </c>
      <c r="E389" s="3" t="s">
        <v>6748</v>
      </c>
      <c r="F389" s="3" t="s">
        <v>6749</v>
      </c>
    </row>
    <row r="390" spans="1:6" x14ac:dyDescent="0.35">
      <c r="A390" s="5">
        <f t="shared" ca="1" si="6"/>
        <v>44949</v>
      </c>
      <c r="B390" s="3" t="s">
        <v>1638</v>
      </c>
      <c r="C390" s="3" t="s">
        <v>1639</v>
      </c>
      <c r="D390" s="3" t="s">
        <v>1640</v>
      </c>
      <c r="E390" s="3" t="s">
        <v>6750</v>
      </c>
      <c r="F390" s="3" t="s">
        <v>6751</v>
      </c>
    </row>
    <row r="391" spans="1:6" x14ac:dyDescent="0.35">
      <c r="A391" s="5">
        <f t="shared" ca="1" si="6"/>
        <v>44950</v>
      </c>
      <c r="B391" s="3" t="s">
        <v>1641</v>
      </c>
      <c r="C391" s="3" t="s">
        <v>1642</v>
      </c>
      <c r="D391" s="3" t="s">
        <v>1643</v>
      </c>
      <c r="E391" s="3" t="s">
        <v>6752</v>
      </c>
      <c r="F391" s="3" t="s">
        <v>6753</v>
      </c>
    </row>
    <row r="392" spans="1:6" x14ac:dyDescent="0.35">
      <c r="A392" s="5">
        <f t="shared" ca="1" si="6"/>
        <v>44951</v>
      </c>
      <c r="B392" s="3" t="s">
        <v>1644</v>
      </c>
      <c r="C392" s="3" t="s">
        <v>1645</v>
      </c>
      <c r="D392" s="3" t="s">
        <v>1646</v>
      </c>
      <c r="E392" s="3" t="s">
        <v>6754</v>
      </c>
      <c r="F392" s="3" t="s">
        <v>6755</v>
      </c>
    </row>
    <row r="393" spans="1:6" x14ac:dyDescent="0.35">
      <c r="A393" s="5">
        <f t="shared" ca="1" si="6"/>
        <v>44952</v>
      </c>
      <c r="B393" s="3" t="s">
        <v>1647</v>
      </c>
      <c r="C393" s="3" t="s">
        <v>1648</v>
      </c>
      <c r="D393" s="3" t="s">
        <v>1649</v>
      </c>
      <c r="E393" s="3" t="s">
        <v>6756</v>
      </c>
      <c r="F393" s="3" t="s">
        <v>6757</v>
      </c>
    </row>
    <row r="394" spans="1:6" x14ac:dyDescent="0.35">
      <c r="A394" s="5">
        <f t="shared" ca="1" si="6"/>
        <v>44953</v>
      </c>
      <c r="B394" s="3" t="s">
        <v>1650</v>
      </c>
      <c r="C394" s="3" t="s">
        <v>1651</v>
      </c>
      <c r="D394" s="3" t="s">
        <v>1652</v>
      </c>
      <c r="E394" s="3" t="s">
        <v>6758</v>
      </c>
      <c r="F394" s="3" t="s">
        <v>6759</v>
      </c>
    </row>
    <row r="395" spans="1:6" x14ac:dyDescent="0.35">
      <c r="A395" s="5">
        <f t="shared" ca="1" si="6"/>
        <v>44954</v>
      </c>
      <c r="B395" s="3" t="s">
        <v>1653</v>
      </c>
      <c r="C395" s="3" t="s">
        <v>1654</v>
      </c>
      <c r="D395" s="3" t="s">
        <v>1655</v>
      </c>
      <c r="E395" s="3" t="s">
        <v>6760</v>
      </c>
      <c r="F395" s="3" t="s">
        <v>6761</v>
      </c>
    </row>
    <row r="396" spans="1:6" x14ac:dyDescent="0.35">
      <c r="A396" s="5">
        <f t="shared" ca="1" si="6"/>
        <v>44955</v>
      </c>
      <c r="B396" s="3" t="s">
        <v>1656</v>
      </c>
      <c r="C396" s="3" t="s">
        <v>1657</v>
      </c>
      <c r="D396" s="3" t="s">
        <v>1658</v>
      </c>
      <c r="E396" s="3" t="s">
        <v>6762</v>
      </c>
      <c r="F396" s="3" t="s">
        <v>6763</v>
      </c>
    </row>
    <row r="397" spans="1:6" x14ac:dyDescent="0.35">
      <c r="A397" s="5">
        <f t="shared" ca="1" si="6"/>
        <v>44956</v>
      </c>
      <c r="B397" s="3" t="s">
        <v>1659</v>
      </c>
      <c r="C397" s="3" t="s">
        <v>1660</v>
      </c>
      <c r="D397" s="3" t="s">
        <v>1661</v>
      </c>
      <c r="E397" s="3" t="s">
        <v>6764</v>
      </c>
      <c r="F397" s="3" t="s">
        <v>6765</v>
      </c>
    </row>
    <row r="398" spans="1:6" x14ac:dyDescent="0.35">
      <c r="A398" s="5">
        <f t="shared" ca="1" si="6"/>
        <v>44957</v>
      </c>
      <c r="B398" s="3" t="s">
        <v>1662</v>
      </c>
      <c r="C398" s="3" t="s">
        <v>1663</v>
      </c>
      <c r="D398" s="3" t="s">
        <v>1664</v>
      </c>
      <c r="E398" s="3" t="s">
        <v>6766</v>
      </c>
      <c r="F398" s="3" t="s">
        <v>6767</v>
      </c>
    </row>
    <row r="399" spans="1:6" x14ac:dyDescent="0.35">
      <c r="A399" s="5">
        <f t="shared" ca="1" si="6"/>
        <v>44958</v>
      </c>
      <c r="B399" s="3" t="s">
        <v>1665</v>
      </c>
      <c r="C399" s="3" t="s">
        <v>1666</v>
      </c>
      <c r="D399" s="3" t="s">
        <v>1667</v>
      </c>
      <c r="E399" s="3" t="s">
        <v>6768</v>
      </c>
      <c r="F399" s="3" t="s">
        <v>6769</v>
      </c>
    </row>
    <row r="400" spans="1:6" x14ac:dyDescent="0.35">
      <c r="A400" s="5">
        <f t="shared" ca="1" si="6"/>
        <v>44959</v>
      </c>
      <c r="B400" s="3" t="s">
        <v>1668</v>
      </c>
      <c r="C400" s="3" t="s">
        <v>1669</v>
      </c>
      <c r="D400" s="3" t="s">
        <v>1670</v>
      </c>
      <c r="E400" s="3" t="s">
        <v>6770</v>
      </c>
      <c r="F400" s="3" t="s">
        <v>6771</v>
      </c>
    </row>
    <row r="401" spans="1:6" x14ac:dyDescent="0.35">
      <c r="A401" s="5">
        <f t="shared" ca="1" si="6"/>
        <v>44960</v>
      </c>
      <c r="B401" s="3" t="s">
        <v>1671</v>
      </c>
      <c r="C401" s="3" t="s">
        <v>1672</v>
      </c>
      <c r="D401" s="3" t="s">
        <v>1673</v>
      </c>
      <c r="E401" s="3" t="s">
        <v>6772</v>
      </c>
      <c r="F401" s="3" t="s">
        <v>6773</v>
      </c>
    </row>
    <row r="402" spans="1:6" x14ac:dyDescent="0.35">
      <c r="A402" s="5">
        <f t="shared" ca="1" si="6"/>
        <v>44961</v>
      </c>
      <c r="B402" s="3" t="s">
        <v>1674</v>
      </c>
      <c r="C402" s="3" t="s">
        <v>1675</v>
      </c>
      <c r="D402" s="3" t="s">
        <v>1676</v>
      </c>
      <c r="E402" s="3" t="s">
        <v>6774</v>
      </c>
      <c r="F402" s="3" t="s">
        <v>6775</v>
      </c>
    </row>
    <row r="403" spans="1:6" x14ac:dyDescent="0.35">
      <c r="A403" s="5">
        <f t="shared" ca="1" si="6"/>
        <v>44962</v>
      </c>
      <c r="B403" s="3" t="s">
        <v>1677</v>
      </c>
      <c r="C403" s="3" t="s">
        <v>1678</v>
      </c>
      <c r="D403" s="3" t="s">
        <v>1679</v>
      </c>
      <c r="E403" s="3" t="s">
        <v>6776</v>
      </c>
      <c r="F403" s="3" t="s">
        <v>6777</v>
      </c>
    </row>
    <row r="404" spans="1:6" x14ac:dyDescent="0.35">
      <c r="A404" s="5">
        <f t="shared" ca="1" si="6"/>
        <v>44963</v>
      </c>
      <c r="B404" s="3" t="s">
        <v>1680</v>
      </c>
      <c r="C404" s="3" t="s">
        <v>1681</v>
      </c>
      <c r="D404" s="3" t="s">
        <v>1682</v>
      </c>
      <c r="E404" s="3" t="s">
        <v>6778</v>
      </c>
      <c r="F404" s="3" t="s">
        <v>6779</v>
      </c>
    </row>
    <row r="405" spans="1:6" x14ac:dyDescent="0.35">
      <c r="A405" s="5">
        <f t="shared" ca="1" si="6"/>
        <v>44964</v>
      </c>
      <c r="B405" s="3" t="s">
        <v>1683</v>
      </c>
      <c r="C405" s="3" t="s">
        <v>1684</v>
      </c>
      <c r="D405" s="3" t="s">
        <v>1685</v>
      </c>
      <c r="E405" s="3" t="s">
        <v>6780</v>
      </c>
      <c r="F405" s="3" t="s">
        <v>6781</v>
      </c>
    </row>
    <row r="406" spans="1:6" x14ac:dyDescent="0.35">
      <c r="A406" s="5">
        <f t="shared" ca="1" si="6"/>
        <v>44965</v>
      </c>
      <c r="B406" s="3" t="s">
        <v>1686</v>
      </c>
      <c r="C406" s="3" t="s">
        <v>1687</v>
      </c>
      <c r="D406" s="3" t="s">
        <v>1688</v>
      </c>
      <c r="E406" s="3" t="s">
        <v>6782</v>
      </c>
      <c r="F406" s="3" t="s">
        <v>6783</v>
      </c>
    </row>
    <row r="407" spans="1:6" x14ac:dyDescent="0.35">
      <c r="A407" s="5">
        <f t="shared" ca="1" si="6"/>
        <v>44966</v>
      </c>
      <c r="B407" s="3" t="s">
        <v>1689</v>
      </c>
      <c r="C407" s="3" t="s">
        <v>1690</v>
      </c>
      <c r="D407" s="3" t="s">
        <v>1691</v>
      </c>
      <c r="E407" s="3" t="s">
        <v>6784</v>
      </c>
      <c r="F407" s="3" t="s">
        <v>6785</v>
      </c>
    </row>
    <row r="408" spans="1:6" x14ac:dyDescent="0.35">
      <c r="A408" s="5">
        <f t="shared" ca="1" si="6"/>
        <v>44967</v>
      </c>
      <c r="B408" s="3" t="s">
        <v>1692</v>
      </c>
      <c r="C408" s="3" t="s">
        <v>1693</v>
      </c>
      <c r="D408" s="3" t="s">
        <v>1694</v>
      </c>
      <c r="E408" s="3" t="s">
        <v>6786</v>
      </c>
      <c r="F408" s="3" t="s">
        <v>6787</v>
      </c>
    </row>
    <row r="409" spans="1:6" x14ac:dyDescent="0.35">
      <c r="A409" s="5">
        <f t="shared" ca="1" si="6"/>
        <v>44968</v>
      </c>
      <c r="B409" s="3" t="s">
        <v>1695</v>
      </c>
      <c r="C409" s="3" t="s">
        <v>1696</v>
      </c>
      <c r="D409" s="3" t="s">
        <v>1697</v>
      </c>
      <c r="E409" s="3" t="s">
        <v>6788</v>
      </c>
      <c r="F409" s="3" t="s">
        <v>6789</v>
      </c>
    </row>
    <row r="410" spans="1:6" x14ac:dyDescent="0.35">
      <c r="A410" s="5">
        <f t="shared" ca="1" si="6"/>
        <v>44969</v>
      </c>
      <c r="B410" s="3" t="s">
        <v>1698</v>
      </c>
      <c r="C410" s="3" t="s">
        <v>1699</v>
      </c>
      <c r="D410" s="3" t="s">
        <v>1700</v>
      </c>
      <c r="E410" s="3" t="s">
        <v>6790</v>
      </c>
      <c r="F410" s="3" t="s">
        <v>6791</v>
      </c>
    </row>
    <row r="411" spans="1:6" x14ac:dyDescent="0.35">
      <c r="A411" s="5">
        <f t="shared" ca="1" si="6"/>
        <v>44970</v>
      </c>
      <c r="B411" s="3" t="s">
        <v>1701</v>
      </c>
      <c r="C411" s="3" t="s">
        <v>1702</v>
      </c>
      <c r="D411" s="3" t="s">
        <v>1703</v>
      </c>
      <c r="E411" s="3" t="s">
        <v>6792</v>
      </c>
      <c r="F411" s="3" t="s">
        <v>6793</v>
      </c>
    </row>
    <row r="412" spans="1:6" x14ac:dyDescent="0.35">
      <c r="A412" s="5">
        <f t="shared" ca="1" si="6"/>
        <v>44971</v>
      </c>
      <c r="B412" s="3" t="s">
        <v>1704</v>
      </c>
      <c r="C412" s="3" t="s">
        <v>1705</v>
      </c>
      <c r="D412" s="3" t="s">
        <v>1706</v>
      </c>
      <c r="E412" s="3" t="s">
        <v>6794</v>
      </c>
      <c r="F412" s="3" t="s">
        <v>6795</v>
      </c>
    </row>
    <row r="413" spans="1:6" x14ac:dyDescent="0.35">
      <c r="A413" s="5">
        <f t="shared" ca="1" si="6"/>
        <v>44972</v>
      </c>
      <c r="B413" s="3" t="s">
        <v>1707</v>
      </c>
      <c r="C413" s="3" t="s">
        <v>1708</v>
      </c>
      <c r="D413" s="3" t="s">
        <v>1709</v>
      </c>
      <c r="E413" s="3" t="s">
        <v>6796</v>
      </c>
      <c r="F413" s="3" t="s">
        <v>6797</v>
      </c>
    </row>
    <row r="414" spans="1:6" x14ac:dyDescent="0.35">
      <c r="A414" s="5">
        <f t="shared" ca="1" si="6"/>
        <v>44973</v>
      </c>
      <c r="B414" s="3" t="s">
        <v>1710</v>
      </c>
      <c r="C414" s="3" t="s">
        <v>1711</v>
      </c>
      <c r="D414" s="3" t="s">
        <v>1712</v>
      </c>
      <c r="E414" s="3" t="s">
        <v>6798</v>
      </c>
      <c r="F414" s="3" t="s">
        <v>6799</v>
      </c>
    </row>
    <row r="415" spans="1:6" x14ac:dyDescent="0.35">
      <c r="A415" s="5">
        <f t="shared" ca="1" si="6"/>
        <v>44974</v>
      </c>
      <c r="B415" s="3" t="s">
        <v>1713</v>
      </c>
      <c r="C415" s="3" t="s">
        <v>1714</v>
      </c>
      <c r="D415" s="3" t="s">
        <v>1715</v>
      </c>
      <c r="E415" s="3" t="s">
        <v>6800</v>
      </c>
      <c r="F415" s="3" t="s">
        <v>6801</v>
      </c>
    </row>
    <row r="416" spans="1:6" x14ac:dyDescent="0.35">
      <c r="A416" s="5">
        <f t="shared" ca="1" si="6"/>
        <v>44975</v>
      </c>
      <c r="B416" s="3" t="s">
        <v>1716</v>
      </c>
      <c r="C416" s="3" t="s">
        <v>1717</v>
      </c>
      <c r="D416" s="3" t="s">
        <v>1718</v>
      </c>
      <c r="E416" s="3" t="s">
        <v>6802</v>
      </c>
      <c r="F416" s="3" t="s">
        <v>6803</v>
      </c>
    </row>
    <row r="417" spans="1:6" x14ac:dyDescent="0.35">
      <c r="A417" s="5">
        <f t="shared" ca="1" si="6"/>
        <v>44976</v>
      </c>
      <c r="B417" s="3" t="s">
        <v>1719</v>
      </c>
      <c r="C417" s="3" t="s">
        <v>1720</v>
      </c>
      <c r="D417" s="3" t="s">
        <v>1721</v>
      </c>
      <c r="E417" s="3" t="s">
        <v>6804</v>
      </c>
      <c r="F417" s="3" t="s">
        <v>6805</v>
      </c>
    </row>
    <row r="418" spans="1:6" x14ac:dyDescent="0.35">
      <c r="A418" s="5">
        <f t="shared" ca="1" si="6"/>
        <v>44977</v>
      </c>
      <c r="B418" s="3" t="s">
        <v>1722</v>
      </c>
      <c r="C418" s="3" t="s">
        <v>1723</v>
      </c>
      <c r="D418" s="3" t="s">
        <v>1724</v>
      </c>
      <c r="E418" s="3" t="s">
        <v>6806</v>
      </c>
      <c r="F418" s="3" t="s">
        <v>6807</v>
      </c>
    </row>
    <row r="419" spans="1:6" x14ac:dyDescent="0.35">
      <c r="A419" s="5">
        <f t="shared" ca="1" si="6"/>
        <v>44978</v>
      </c>
      <c r="B419" s="3" t="s">
        <v>1725</v>
      </c>
      <c r="C419" s="3" t="s">
        <v>1726</v>
      </c>
      <c r="D419" s="3" t="s">
        <v>1727</v>
      </c>
      <c r="E419" s="3" t="s">
        <v>6808</v>
      </c>
      <c r="F419" s="3" t="s">
        <v>6809</v>
      </c>
    </row>
    <row r="420" spans="1:6" x14ac:dyDescent="0.35">
      <c r="A420" s="5">
        <f t="shared" ca="1" si="6"/>
        <v>44979</v>
      </c>
      <c r="B420" s="3" t="s">
        <v>1728</v>
      </c>
      <c r="C420" s="3" t="s">
        <v>1729</v>
      </c>
      <c r="D420" s="3" t="s">
        <v>1730</v>
      </c>
      <c r="E420" s="3" t="s">
        <v>6810</v>
      </c>
      <c r="F420" s="3" t="s">
        <v>6811</v>
      </c>
    </row>
    <row r="421" spans="1:6" x14ac:dyDescent="0.35">
      <c r="A421" s="5">
        <f t="shared" ca="1" si="6"/>
        <v>44980</v>
      </c>
      <c r="B421" s="3" t="s">
        <v>1731</v>
      </c>
      <c r="C421" s="3" t="s">
        <v>1732</v>
      </c>
      <c r="D421" s="3" t="s">
        <v>1733</v>
      </c>
      <c r="E421" s="3" t="s">
        <v>6812</v>
      </c>
      <c r="F421" s="3" t="s">
        <v>6813</v>
      </c>
    </row>
    <row r="422" spans="1:6" x14ac:dyDescent="0.35">
      <c r="A422" s="5">
        <f t="shared" ca="1" si="6"/>
        <v>44981</v>
      </c>
      <c r="B422" s="3" t="s">
        <v>1734</v>
      </c>
      <c r="C422" s="3" t="s">
        <v>1735</v>
      </c>
      <c r="D422" s="3" t="s">
        <v>1736</v>
      </c>
      <c r="E422" s="3" t="s">
        <v>6814</v>
      </c>
      <c r="F422" s="3" t="s">
        <v>6815</v>
      </c>
    </row>
    <row r="423" spans="1:6" x14ac:dyDescent="0.35">
      <c r="A423" s="5">
        <f t="shared" ca="1" si="6"/>
        <v>44982</v>
      </c>
      <c r="B423" s="3" t="s">
        <v>1737</v>
      </c>
      <c r="C423" s="3" t="s">
        <v>1738</v>
      </c>
      <c r="D423" s="3" t="s">
        <v>1739</v>
      </c>
      <c r="E423" s="3" t="s">
        <v>6816</v>
      </c>
      <c r="F423" s="3" t="s">
        <v>6817</v>
      </c>
    </row>
    <row r="424" spans="1:6" x14ac:dyDescent="0.35">
      <c r="A424" s="5">
        <f t="shared" ca="1" si="6"/>
        <v>44983</v>
      </c>
      <c r="B424" s="3" t="s">
        <v>1740</v>
      </c>
      <c r="C424" s="3" t="s">
        <v>1741</v>
      </c>
      <c r="D424" s="3" t="s">
        <v>1742</v>
      </c>
      <c r="E424" s="3" t="s">
        <v>6818</v>
      </c>
      <c r="F424" s="3" t="s">
        <v>6819</v>
      </c>
    </row>
    <row r="425" spans="1:6" x14ac:dyDescent="0.35">
      <c r="A425" s="5">
        <f t="shared" ca="1" si="6"/>
        <v>44984</v>
      </c>
      <c r="B425" s="3" t="s">
        <v>1743</v>
      </c>
      <c r="C425" s="3" t="s">
        <v>1744</v>
      </c>
      <c r="D425" s="3" t="s">
        <v>1745</v>
      </c>
      <c r="E425" s="3" t="s">
        <v>6820</v>
      </c>
      <c r="F425" s="3" t="s">
        <v>6821</v>
      </c>
    </row>
    <row r="426" spans="1:6" x14ac:dyDescent="0.35">
      <c r="A426" s="5">
        <f t="shared" ca="1" si="6"/>
        <v>44985</v>
      </c>
      <c r="B426" s="3" t="s">
        <v>1746</v>
      </c>
      <c r="C426" s="3" t="s">
        <v>1747</v>
      </c>
      <c r="D426" s="3" t="s">
        <v>1748</v>
      </c>
      <c r="E426" s="3" t="s">
        <v>6822</v>
      </c>
      <c r="F426" s="3" t="s">
        <v>6823</v>
      </c>
    </row>
    <row r="427" spans="1:6" x14ac:dyDescent="0.35">
      <c r="A427" s="5">
        <f t="shared" ca="1" si="6"/>
        <v>44986</v>
      </c>
      <c r="B427" s="3" t="s">
        <v>1749</v>
      </c>
      <c r="C427" s="3" t="s">
        <v>1750</v>
      </c>
      <c r="D427" s="3" t="s">
        <v>1751</v>
      </c>
      <c r="E427" s="3" t="s">
        <v>6824</v>
      </c>
      <c r="F427" s="3" t="s">
        <v>6825</v>
      </c>
    </row>
    <row r="428" spans="1:6" x14ac:dyDescent="0.35">
      <c r="A428" s="5">
        <f t="shared" ca="1" si="6"/>
        <v>44987</v>
      </c>
      <c r="B428" s="3" t="s">
        <v>1752</v>
      </c>
      <c r="C428" s="3" t="s">
        <v>1753</v>
      </c>
      <c r="D428" s="3" t="s">
        <v>1754</v>
      </c>
      <c r="E428" s="3" t="s">
        <v>6826</v>
      </c>
      <c r="F428" s="3" t="s">
        <v>6827</v>
      </c>
    </row>
    <row r="429" spans="1:6" x14ac:dyDescent="0.35">
      <c r="A429" s="5">
        <f t="shared" ca="1" si="6"/>
        <v>44988</v>
      </c>
      <c r="B429" s="3" t="s">
        <v>1755</v>
      </c>
      <c r="C429" s="3" t="s">
        <v>1756</v>
      </c>
      <c r="D429" s="3" t="s">
        <v>1757</v>
      </c>
      <c r="E429" s="3" t="s">
        <v>6828</v>
      </c>
      <c r="F429" s="3" t="s">
        <v>6829</v>
      </c>
    </row>
    <row r="430" spans="1:6" x14ac:dyDescent="0.35">
      <c r="A430" s="5">
        <f t="shared" ca="1" si="6"/>
        <v>44989</v>
      </c>
      <c r="B430" s="3" t="s">
        <v>1758</v>
      </c>
      <c r="C430" s="3" t="s">
        <v>1759</v>
      </c>
      <c r="D430" s="3" t="s">
        <v>1760</v>
      </c>
      <c r="E430" s="3" t="s">
        <v>6830</v>
      </c>
      <c r="F430" s="3" t="s">
        <v>6831</v>
      </c>
    </row>
    <row r="431" spans="1:6" x14ac:dyDescent="0.35">
      <c r="A431" s="5">
        <f t="shared" ca="1" si="6"/>
        <v>44990</v>
      </c>
      <c r="B431" s="3" t="s">
        <v>1761</v>
      </c>
      <c r="C431" s="3" t="s">
        <v>1762</v>
      </c>
      <c r="D431" s="3" t="s">
        <v>1763</v>
      </c>
      <c r="E431" s="3" t="s">
        <v>6832</v>
      </c>
      <c r="F431" s="3" t="s">
        <v>6833</v>
      </c>
    </row>
    <row r="432" spans="1:6" x14ac:dyDescent="0.35">
      <c r="A432" s="5">
        <f t="shared" ca="1" si="6"/>
        <v>44991</v>
      </c>
      <c r="B432" s="3" t="s">
        <v>1764</v>
      </c>
      <c r="C432" s="3" t="s">
        <v>1765</v>
      </c>
      <c r="D432" s="3" t="s">
        <v>1766</v>
      </c>
      <c r="E432" s="3" t="s">
        <v>6834</v>
      </c>
      <c r="F432" s="3" t="s">
        <v>6835</v>
      </c>
    </row>
    <row r="433" spans="1:6" x14ac:dyDescent="0.35">
      <c r="A433" s="5">
        <f t="shared" ca="1" si="6"/>
        <v>44992</v>
      </c>
      <c r="B433" s="3" t="s">
        <v>1767</v>
      </c>
      <c r="C433" s="3" t="s">
        <v>1768</v>
      </c>
      <c r="D433" s="3" t="s">
        <v>1769</v>
      </c>
      <c r="E433" s="3" t="s">
        <v>6836</v>
      </c>
      <c r="F433" s="3" t="s">
        <v>6837</v>
      </c>
    </row>
    <row r="434" spans="1:6" x14ac:dyDescent="0.35">
      <c r="A434" s="5">
        <f t="shared" ca="1" si="6"/>
        <v>44993</v>
      </c>
      <c r="B434" s="3" t="s">
        <v>1770</v>
      </c>
      <c r="C434" s="3" t="s">
        <v>1771</v>
      </c>
      <c r="D434" s="3" t="s">
        <v>1772</v>
      </c>
      <c r="E434" s="3" t="s">
        <v>6838</v>
      </c>
      <c r="F434" s="3" t="s">
        <v>6839</v>
      </c>
    </row>
    <row r="435" spans="1:6" x14ac:dyDescent="0.35">
      <c r="A435" s="5">
        <f t="shared" ca="1" si="6"/>
        <v>44994</v>
      </c>
      <c r="B435" s="3" t="s">
        <v>1773</v>
      </c>
      <c r="C435" s="3" t="s">
        <v>1774</v>
      </c>
      <c r="D435" s="3" t="s">
        <v>1775</v>
      </c>
      <c r="E435" s="3" t="s">
        <v>6840</v>
      </c>
      <c r="F435" s="3" t="s">
        <v>6841</v>
      </c>
    </row>
    <row r="436" spans="1:6" x14ac:dyDescent="0.35">
      <c r="A436" s="5">
        <f t="shared" ca="1" si="6"/>
        <v>44995</v>
      </c>
      <c r="B436" s="3" t="s">
        <v>1776</v>
      </c>
      <c r="C436" s="3" t="s">
        <v>1777</v>
      </c>
      <c r="D436" s="3" t="s">
        <v>1778</v>
      </c>
      <c r="E436" s="3" t="s">
        <v>6842</v>
      </c>
      <c r="F436" s="3" t="s">
        <v>6843</v>
      </c>
    </row>
    <row r="437" spans="1:6" x14ac:dyDescent="0.35">
      <c r="A437" s="5">
        <f t="shared" ca="1" si="6"/>
        <v>44996</v>
      </c>
      <c r="B437" s="3" t="s">
        <v>1779</v>
      </c>
      <c r="C437" s="3" t="s">
        <v>1780</v>
      </c>
      <c r="D437" s="3" t="s">
        <v>1781</v>
      </c>
      <c r="E437" s="3" t="s">
        <v>6844</v>
      </c>
      <c r="F437" s="3" t="s">
        <v>6845</v>
      </c>
    </row>
    <row r="438" spans="1:6" x14ac:dyDescent="0.35">
      <c r="A438" s="5">
        <f t="shared" ca="1" si="6"/>
        <v>44997</v>
      </c>
      <c r="B438" s="3" t="s">
        <v>1782</v>
      </c>
      <c r="C438" s="3" t="s">
        <v>1783</v>
      </c>
      <c r="D438" s="3" t="s">
        <v>1784</v>
      </c>
      <c r="E438" s="3" t="s">
        <v>6846</v>
      </c>
      <c r="F438" s="3" t="s">
        <v>6847</v>
      </c>
    </row>
    <row r="439" spans="1:6" x14ac:dyDescent="0.35">
      <c r="A439" s="5">
        <f t="shared" ca="1" si="6"/>
        <v>44998</v>
      </c>
      <c r="B439" s="3" t="s">
        <v>1785</v>
      </c>
      <c r="C439" s="3" t="s">
        <v>1786</v>
      </c>
      <c r="D439" s="3" t="s">
        <v>1787</v>
      </c>
      <c r="E439" s="3" t="s">
        <v>6848</v>
      </c>
      <c r="F439" s="3" t="s">
        <v>6849</v>
      </c>
    </row>
    <row r="440" spans="1:6" x14ac:dyDescent="0.35">
      <c r="A440" s="5">
        <f t="shared" ca="1" si="6"/>
        <v>44999</v>
      </c>
      <c r="B440" s="3" t="s">
        <v>1788</v>
      </c>
      <c r="C440" s="3" t="s">
        <v>1789</v>
      </c>
      <c r="D440" s="3" t="s">
        <v>1790</v>
      </c>
      <c r="E440" s="3" t="s">
        <v>6850</v>
      </c>
      <c r="F440" s="3" t="s">
        <v>6851</v>
      </c>
    </row>
    <row r="441" spans="1:6" x14ac:dyDescent="0.35">
      <c r="A441" s="5">
        <f t="shared" ca="1" si="6"/>
        <v>45000</v>
      </c>
      <c r="B441" s="3" t="s">
        <v>1791</v>
      </c>
      <c r="C441" s="3" t="s">
        <v>1792</v>
      </c>
      <c r="D441" s="3" t="s">
        <v>1793</v>
      </c>
      <c r="E441" s="3" t="s">
        <v>6852</v>
      </c>
      <c r="F441" s="3" t="s">
        <v>6853</v>
      </c>
    </row>
    <row r="442" spans="1:6" x14ac:dyDescent="0.35">
      <c r="A442" s="5">
        <f t="shared" ca="1" si="6"/>
        <v>45001</v>
      </c>
      <c r="B442" s="3" t="s">
        <v>1794</v>
      </c>
      <c r="C442" s="3" t="s">
        <v>1795</v>
      </c>
      <c r="D442" s="3" t="s">
        <v>1796</v>
      </c>
      <c r="E442" s="3" t="s">
        <v>6854</v>
      </c>
      <c r="F442" s="3" t="s">
        <v>6855</v>
      </c>
    </row>
    <row r="443" spans="1:6" x14ac:dyDescent="0.35">
      <c r="A443" s="5">
        <f t="shared" ca="1" si="6"/>
        <v>45002</v>
      </c>
      <c r="B443" s="3" t="s">
        <v>1797</v>
      </c>
      <c r="C443" s="3" t="s">
        <v>1798</v>
      </c>
      <c r="D443" s="3" t="s">
        <v>1799</v>
      </c>
      <c r="E443" s="3" t="s">
        <v>6856</v>
      </c>
      <c r="F443" s="3" t="s">
        <v>6857</v>
      </c>
    </row>
    <row r="444" spans="1:6" x14ac:dyDescent="0.35">
      <c r="A444" s="5">
        <f t="shared" ca="1" si="6"/>
        <v>45003</v>
      </c>
      <c r="B444" s="3" t="s">
        <v>1800</v>
      </c>
      <c r="C444" s="3" t="s">
        <v>1801</v>
      </c>
      <c r="D444" s="3" t="s">
        <v>1802</v>
      </c>
      <c r="E444" s="3" t="s">
        <v>6858</v>
      </c>
      <c r="F444" s="3" t="s">
        <v>6859</v>
      </c>
    </row>
    <row r="445" spans="1:6" x14ac:dyDescent="0.35">
      <c r="A445" s="5">
        <f t="shared" ca="1" si="6"/>
        <v>45004</v>
      </c>
      <c r="B445" s="3" t="s">
        <v>1803</v>
      </c>
      <c r="C445" s="3" t="s">
        <v>1804</v>
      </c>
      <c r="D445" s="3" t="s">
        <v>1805</v>
      </c>
      <c r="E445" s="3" t="s">
        <v>6860</v>
      </c>
      <c r="F445" s="3" t="s">
        <v>6861</v>
      </c>
    </row>
    <row r="446" spans="1:6" x14ac:dyDescent="0.35">
      <c r="A446" s="5">
        <f t="shared" ca="1" si="6"/>
        <v>45005</v>
      </c>
      <c r="B446" s="3" t="s">
        <v>1806</v>
      </c>
      <c r="C446" s="3" t="s">
        <v>1807</v>
      </c>
      <c r="D446" s="3" t="s">
        <v>1808</v>
      </c>
      <c r="E446" s="3" t="s">
        <v>6862</v>
      </c>
      <c r="F446" s="3" t="s">
        <v>6863</v>
      </c>
    </row>
    <row r="447" spans="1:6" x14ac:dyDescent="0.35">
      <c r="A447" s="5">
        <f t="shared" ca="1" si="6"/>
        <v>45006</v>
      </c>
      <c r="B447" s="3" t="s">
        <v>1809</v>
      </c>
      <c r="C447" s="3" t="s">
        <v>1810</v>
      </c>
      <c r="D447" s="3" t="s">
        <v>1811</v>
      </c>
      <c r="E447" s="3" t="s">
        <v>6864</v>
      </c>
      <c r="F447" s="3" t="s">
        <v>6865</v>
      </c>
    </row>
    <row r="448" spans="1:6" x14ac:dyDescent="0.35">
      <c r="A448" s="5">
        <f t="shared" ca="1" si="6"/>
        <v>45007</v>
      </c>
      <c r="B448" s="3" t="s">
        <v>1812</v>
      </c>
      <c r="C448" s="3" t="s">
        <v>1813</v>
      </c>
      <c r="D448" s="3" t="s">
        <v>1814</v>
      </c>
      <c r="E448" s="3" t="s">
        <v>6866</v>
      </c>
      <c r="F448" s="3" t="s">
        <v>6867</v>
      </c>
    </row>
    <row r="449" spans="1:6" x14ac:dyDescent="0.35">
      <c r="A449" s="5">
        <f t="shared" ca="1" si="6"/>
        <v>45008</v>
      </c>
      <c r="B449" s="3" t="s">
        <v>1815</v>
      </c>
      <c r="C449" s="3" t="s">
        <v>1816</v>
      </c>
      <c r="D449" s="3" t="s">
        <v>1817</v>
      </c>
      <c r="E449" s="3" t="s">
        <v>6868</v>
      </c>
      <c r="F449" s="3" t="s">
        <v>6869</v>
      </c>
    </row>
    <row r="450" spans="1:6" x14ac:dyDescent="0.35">
      <c r="A450" s="5">
        <f t="shared" ca="1" si="6"/>
        <v>45009</v>
      </c>
      <c r="B450" s="3" t="s">
        <v>1818</v>
      </c>
      <c r="C450" s="3" t="s">
        <v>1819</v>
      </c>
      <c r="D450" s="3" t="s">
        <v>1820</v>
      </c>
      <c r="E450" s="3" t="s">
        <v>6870</v>
      </c>
      <c r="F450" s="3" t="s">
        <v>6871</v>
      </c>
    </row>
    <row r="451" spans="1:6" x14ac:dyDescent="0.35">
      <c r="A451" s="5">
        <f t="shared" ca="1" si="6"/>
        <v>45010</v>
      </c>
      <c r="B451" s="3" t="s">
        <v>1821</v>
      </c>
      <c r="C451" s="3" t="s">
        <v>1822</v>
      </c>
      <c r="D451" s="3" t="s">
        <v>1823</v>
      </c>
      <c r="E451" s="3" t="s">
        <v>6872</v>
      </c>
      <c r="F451" s="3" t="s">
        <v>6873</v>
      </c>
    </row>
    <row r="452" spans="1:6" x14ac:dyDescent="0.35">
      <c r="A452" s="5">
        <f t="shared" ca="1" si="6"/>
        <v>45011</v>
      </c>
      <c r="B452" s="3" t="s">
        <v>1824</v>
      </c>
      <c r="C452" s="3" t="s">
        <v>1825</v>
      </c>
      <c r="D452" s="3" t="s">
        <v>1826</v>
      </c>
      <c r="E452" s="3" t="s">
        <v>6874</v>
      </c>
      <c r="F452" s="3" t="s">
        <v>6875</v>
      </c>
    </row>
    <row r="453" spans="1:6" x14ac:dyDescent="0.35">
      <c r="A453" s="5">
        <f t="shared" ref="A453:A516" ca="1" si="7">A452+1</f>
        <v>45012</v>
      </c>
      <c r="B453" s="3" t="s">
        <v>1827</v>
      </c>
      <c r="C453" s="3" t="s">
        <v>1828</v>
      </c>
      <c r="D453" s="3" t="s">
        <v>1829</v>
      </c>
      <c r="E453" s="3" t="s">
        <v>6876</v>
      </c>
      <c r="F453" s="3" t="s">
        <v>6877</v>
      </c>
    </row>
    <row r="454" spans="1:6" x14ac:dyDescent="0.35">
      <c r="A454" s="5">
        <f t="shared" ca="1" si="7"/>
        <v>45013</v>
      </c>
      <c r="B454" s="3" t="s">
        <v>1830</v>
      </c>
      <c r="C454" s="3" t="s">
        <v>1831</v>
      </c>
      <c r="D454" s="3" t="s">
        <v>1832</v>
      </c>
      <c r="E454" s="3" t="s">
        <v>6878</v>
      </c>
      <c r="F454" s="3" t="s">
        <v>6879</v>
      </c>
    </row>
    <row r="455" spans="1:6" x14ac:dyDescent="0.35">
      <c r="A455" s="5">
        <f t="shared" ca="1" si="7"/>
        <v>45014</v>
      </c>
      <c r="B455" s="3" t="s">
        <v>1833</v>
      </c>
      <c r="C455" s="3" t="s">
        <v>1834</v>
      </c>
      <c r="D455" s="3" t="s">
        <v>1835</v>
      </c>
      <c r="E455" s="3" t="s">
        <v>6880</v>
      </c>
      <c r="F455" s="3" t="s">
        <v>6881</v>
      </c>
    </row>
    <row r="456" spans="1:6" x14ac:dyDescent="0.35">
      <c r="A456" s="5">
        <f t="shared" ca="1" si="7"/>
        <v>45015</v>
      </c>
      <c r="B456" s="3" t="s">
        <v>1836</v>
      </c>
      <c r="C456" s="3" t="s">
        <v>1837</v>
      </c>
      <c r="D456" s="3" t="s">
        <v>1838</v>
      </c>
      <c r="E456" s="3" t="s">
        <v>6882</v>
      </c>
      <c r="F456" s="3" t="s">
        <v>6883</v>
      </c>
    </row>
    <row r="457" spans="1:6" x14ac:dyDescent="0.35">
      <c r="A457" s="5">
        <f t="shared" ca="1" si="7"/>
        <v>45016</v>
      </c>
      <c r="B457" s="3" t="s">
        <v>1839</v>
      </c>
      <c r="C457" s="3" t="s">
        <v>1840</v>
      </c>
      <c r="D457" s="3" t="s">
        <v>1841</v>
      </c>
      <c r="E457" s="3" t="s">
        <v>6884</v>
      </c>
      <c r="F457" s="3" t="s">
        <v>6885</v>
      </c>
    </row>
    <row r="458" spans="1:6" x14ac:dyDescent="0.35">
      <c r="A458" s="5">
        <f t="shared" ca="1" si="7"/>
        <v>45017</v>
      </c>
      <c r="B458" s="3" t="s">
        <v>1842</v>
      </c>
      <c r="C458" s="3" t="s">
        <v>1843</v>
      </c>
      <c r="D458" s="3" t="s">
        <v>1844</v>
      </c>
      <c r="E458" s="3" t="s">
        <v>6886</v>
      </c>
      <c r="F458" s="3" t="s">
        <v>6887</v>
      </c>
    </row>
    <row r="459" spans="1:6" x14ac:dyDescent="0.35">
      <c r="A459" s="5">
        <f t="shared" ca="1" si="7"/>
        <v>45018</v>
      </c>
      <c r="B459" s="3" t="s">
        <v>1845</v>
      </c>
      <c r="C459" s="3" t="s">
        <v>1846</v>
      </c>
      <c r="D459" s="3" t="s">
        <v>1847</v>
      </c>
      <c r="E459" s="3" t="s">
        <v>6888</v>
      </c>
      <c r="F459" s="3" t="s">
        <v>6889</v>
      </c>
    </row>
    <row r="460" spans="1:6" x14ac:dyDescent="0.35">
      <c r="A460" s="5">
        <f t="shared" ca="1" si="7"/>
        <v>45019</v>
      </c>
      <c r="B460" s="3" t="s">
        <v>1848</v>
      </c>
      <c r="C460" s="3" t="s">
        <v>1849</v>
      </c>
      <c r="D460" s="3" t="s">
        <v>1850</v>
      </c>
      <c r="E460" s="3" t="s">
        <v>6890</v>
      </c>
      <c r="F460" s="3" t="s">
        <v>6891</v>
      </c>
    </row>
    <row r="461" spans="1:6" x14ac:dyDescent="0.35">
      <c r="A461" s="5">
        <f t="shared" ca="1" si="7"/>
        <v>45020</v>
      </c>
      <c r="B461" s="3" t="s">
        <v>1851</v>
      </c>
      <c r="C461" s="3" t="s">
        <v>1852</v>
      </c>
      <c r="D461" s="3" t="s">
        <v>1853</v>
      </c>
      <c r="E461" s="3" t="s">
        <v>6892</v>
      </c>
      <c r="F461" s="3" t="s">
        <v>6893</v>
      </c>
    </row>
    <row r="462" spans="1:6" x14ac:dyDescent="0.35">
      <c r="A462" s="5">
        <f t="shared" ca="1" si="7"/>
        <v>45021</v>
      </c>
      <c r="B462" s="3" t="s">
        <v>1854</v>
      </c>
      <c r="C462" s="3" t="s">
        <v>1855</v>
      </c>
      <c r="D462" s="3" t="s">
        <v>1856</v>
      </c>
      <c r="E462" s="3" t="s">
        <v>6894</v>
      </c>
      <c r="F462" s="3" t="s">
        <v>6895</v>
      </c>
    </row>
    <row r="463" spans="1:6" x14ac:dyDescent="0.35">
      <c r="A463" s="5">
        <f t="shared" ca="1" si="7"/>
        <v>45022</v>
      </c>
      <c r="B463" s="3" t="s">
        <v>1857</v>
      </c>
      <c r="C463" s="3" t="s">
        <v>1858</v>
      </c>
      <c r="D463" s="3" t="s">
        <v>1859</v>
      </c>
      <c r="E463" s="3" t="s">
        <v>6896</v>
      </c>
      <c r="F463" s="3" t="s">
        <v>6897</v>
      </c>
    </row>
    <row r="464" spans="1:6" x14ac:dyDescent="0.35">
      <c r="A464" s="5">
        <f t="shared" ca="1" si="7"/>
        <v>45023</v>
      </c>
      <c r="B464" s="3" t="s">
        <v>1860</v>
      </c>
      <c r="C464" s="3" t="s">
        <v>1861</v>
      </c>
      <c r="D464" s="3" t="s">
        <v>1862</v>
      </c>
      <c r="E464" s="3" t="s">
        <v>6898</v>
      </c>
      <c r="F464" s="3" t="s">
        <v>6899</v>
      </c>
    </row>
    <row r="465" spans="1:6" x14ac:dyDescent="0.35">
      <c r="A465" s="5">
        <f t="shared" ca="1" si="7"/>
        <v>45024</v>
      </c>
      <c r="B465" s="3" t="s">
        <v>1863</v>
      </c>
      <c r="C465" s="3" t="s">
        <v>1864</v>
      </c>
      <c r="D465" s="3" t="s">
        <v>1865</v>
      </c>
      <c r="E465" s="3" t="s">
        <v>6900</v>
      </c>
      <c r="F465" s="3" t="s">
        <v>6901</v>
      </c>
    </row>
    <row r="466" spans="1:6" x14ac:dyDescent="0.35">
      <c r="A466" s="5">
        <f t="shared" ca="1" si="7"/>
        <v>45025</v>
      </c>
      <c r="B466" s="3" t="s">
        <v>1866</v>
      </c>
      <c r="C466" s="3" t="s">
        <v>1867</v>
      </c>
      <c r="D466" s="3" t="s">
        <v>1868</v>
      </c>
      <c r="E466" s="3" t="s">
        <v>6902</v>
      </c>
      <c r="F466" s="3" t="s">
        <v>6903</v>
      </c>
    </row>
    <row r="467" spans="1:6" x14ac:dyDescent="0.35">
      <c r="A467" s="5">
        <f t="shared" ca="1" si="7"/>
        <v>45026</v>
      </c>
      <c r="B467" s="3" t="s">
        <v>1869</v>
      </c>
      <c r="C467" s="3" t="s">
        <v>1870</v>
      </c>
      <c r="D467" s="3" t="s">
        <v>1871</v>
      </c>
      <c r="E467" s="3" t="s">
        <v>6904</v>
      </c>
      <c r="F467" s="3" t="s">
        <v>6905</v>
      </c>
    </row>
    <row r="468" spans="1:6" x14ac:dyDescent="0.35">
      <c r="A468" s="5">
        <f t="shared" ca="1" si="7"/>
        <v>45027</v>
      </c>
      <c r="B468" s="3" t="s">
        <v>1872</v>
      </c>
      <c r="C468" s="3" t="s">
        <v>1873</v>
      </c>
      <c r="D468" s="3" t="s">
        <v>1874</v>
      </c>
      <c r="E468" s="3" t="s">
        <v>6906</v>
      </c>
      <c r="F468" s="3" t="s">
        <v>6907</v>
      </c>
    </row>
    <row r="469" spans="1:6" x14ac:dyDescent="0.35">
      <c r="A469" s="5">
        <f t="shared" ca="1" si="7"/>
        <v>45028</v>
      </c>
      <c r="B469" s="3" t="s">
        <v>1875</v>
      </c>
      <c r="C469" s="3" t="s">
        <v>1876</v>
      </c>
      <c r="D469" s="3" t="s">
        <v>1877</v>
      </c>
      <c r="E469" s="3" t="s">
        <v>6908</v>
      </c>
      <c r="F469" s="3" t="s">
        <v>6909</v>
      </c>
    </row>
    <row r="470" spans="1:6" x14ac:dyDescent="0.35">
      <c r="A470" s="5">
        <f t="shared" ca="1" si="7"/>
        <v>45029</v>
      </c>
      <c r="B470" s="3" t="s">
        <v>1878</v>
      </c>
      <c r="C470" s="3" t="s">
        <v>1879</v>
      </c>
      <c r="D470" s="3" t="s">
        <v>1880</v>
      </c>
      <c r="E470" s="3" t="s">
        <v>6910</v>
      </c>
      <c r="F470" s="3" t="s">
        <v>6911</v>
      </c>
    </row>
    <row r="471" spans="1:6" x14ac:dyDescent="0.35">
      <c r="A471" s="5">
        <f t="shared" ca="1" si="7"/>
        <v>45030</v>
      </c>
      <c r="B471" s="3" t="s">
        <v>1881</v>
      </c>
      <c r="C471" s="3" t="s">
        <v>1882</v>
      </c>
      <c r="D471" s="3" t="s">
        <v>1883</v>
      </c>
      <c r="E471" s="3" t="s">
        <v>6912</v>
      </c>
      <c r="F471" s="3" t="s">
        <v>6913</v>
      </c>
    </row>
    <row r="472" spans="1:6" x14ac:dyDescent="0.35">
      <c r="A472" s="5">
        <f t="shared" ca="1" si="7"/>
        <v>45031</v>
      </c>
      <c r="B472" s="3" t="s">
        <v>1884</v>
      </c>
      <c r="C472" s="3" t="s">
        <v>1885</v>
      </c>
      <c r="D472" s="3" t="s">
        <v>1886</v>
      </c>
      <c r="E472" s="3" t="s">
        <v>6914</v>
      </c>
      <c r="F472" s="3" t="s">
        <v>6915</v>
      </c>
    </row>
    <row r="473" spans="1:6" x14ac:dyDescent="0.35">
      <c r="A473" s="5">
        <f t="shared" ca="1" si="7"/>
        <v>45032</v>
      </c>
      <c r="B473" s="3" t="s">
        <v>1887</v>
      </c>
      <c r="C473" s="3" t="s">
        <v>1888</v>
      </c>
      <c r="D473" s="3" t="s">
        <v>1889</v>
      </c>
      <c r="E473" s="3" t="s">
        <v>6916</v>
      </c>
      <c r="F473" s="3" t="s">
        <v>6917</v>
      </c>
    </row>
    <row r="474" spans="1:6" x14ac:dyDescent="0.35">
      <c r="A474" s="5">
        <f t="shared" ca="1" si="7"/>
        <v>45033</v>
      </c>
      <c r="B474" s="3" t="s">
        <v>1890</v>
      </c>
      <c r="C474" s="3" t="s">
        <v>1891</v>
      </c>
      <c r="D474" s="3" t="s">
        <v>1892</v>
      </c>
      <c r="E474" s="3" t="s">
        <v>6918</v>
      </c>
      <c r="F474" s="3" t="s">
        <v>6919</v>
      </c>
    </row>
    <row r="475" spans="1:6" x14ac:dyDescent="0.35">
      <c r="A475" s="5">
        <f t="shared" ca="1" si="7"/>
        <v>45034</v>
      </c>
      <c r="B475" s="3" t="s">
        <v>1893</v>
      </c>
      <c r="C475" s="3" t="s">
        <v>1894</v>
      </c>
      <c r="D475" s="3" t="s">
        <v>1895</v>
      </c>
      <c r="E475" s="3" t="s">
        <v>6920</v>
      </c>
      <c r="F475" s="3" t="s">
        <v>6921</v>
      </c>
    </row>
    <row r="476" spans="1:6" x14ac:dyDescent="0.35">
      <c r="A476" s="5">
        <f t="shared" ca="1" si="7"/>
        <v>45035</v>
      </c>
      <c r="B476" s="3" t="s">
        <v>1896</v>
      </c>
      <c r="C476" s="3" t="s">
        <v>1897</v>
      </c>
      <c r="D476" s="3" t="s">
        <v>1898</v>
      </c>
      <c r="E476" s="3" t="s">
        <v>6922</v>
      </c>
      <c r="F476" s="3" t="s">
        <v>6923</v>
      </c>
    </row>
    <row r="477" spans="1:6" x14ac:dyDescent="0.35">
      <c r="A477" s="5">
        <f t="shared" ca="1" si="7"/>
        <v>45036</v>
      </c>
      <c r="B477" s="3" t="s">
        <v>1899</v>
      </c>
      <c r="C477" s="3" t="s">
        <v>1900</v>
      </c>
      <c r="D477" s="3" t="s">
        <v>1901</v>
      </c>
      <c r="E477" s="3" t="s">
        <v>6924</v>
      </c>
      <c r="F477" s="3" t="s">
        <v>6925</v>
      </c>
    </row>
    <row r="478" spans="1:6" x14ac:dyDescent="0.35">
      <c r="A478" s="5">
        <f t="shared" ca="1" si="7"/>
        <v>45037</v>
      </c>
      <c r="B478" s="3" t="s">
        <v>1902</v>
      </c>
      <c r="C478" s="3" t="s">
        <v>1903</v>
      </c>
      <c r="D478" s="3" t="s">
        <v>1904</v>
      </c>
      <c r="E478" s="3" t="s">
        <v>6926</v>
      </c>
      <c r="F478" s="3" t="s">
        <v>6927</v>
      </c>
    </row>
    <row r="479" spans="1:6" x14ac:dyDescent="0.35">
      <c r="A479" s="5">
        <f t="shared" ca="1" si="7"/>
        <v>45038</v>
      </c>
      <c r="B479" s="3" t="s">
        <v>1905</v>
      </c>
      <c r="C479" s="3" t="s">
        <v>1906</v>
      </c>
      <c r="D479" s="3" t="s">
        <v>1907</v>
      </c>
      <c r="E479" s="3" t="s">
        <v>6928</v>
      </c>
      <c r="F479" s="3" t="s">
        <v>6929</v>
      </c>
    </row>
    <row r="480" spans="1:6" x14ac:dyDescent="0.35">
      <c r="A480" s="5">
        <f t="shared" ca="1" si="7"/>
        <v>45039</v>
      </c>
      <c r="B480" s="3" t="s">
        <v>1908</v>
      </c>
      <c r="C480" s="3" t="s">
        <v>1909</v>
      </c>
      <c r="D480" s="3" t="s">
        <v>1910</v>
      </c>
      <c r="E480" s="3" t="s">
        <v>6930</v>
      </c>
      <c r="F480" s="3" t="s">
        <v>6931</v>
      </c>
    </row>
    <row r="481" spans="1:6" x14ac:dyDescent="0.35">
      <c r="A481" s="5">
        <f t="shared" ca="1" si="7"/>
        <v>45040</v>
      </c>
      <c r="B481" s="3" t="s">
        <v>1911</v>
      </c>
      <c r="C481" s="3" t="s">
        <v>1912</v>
      </c>
      <c r="D481" s="3" t="s">
        <v>1913</v>
      </c>
      <c r="E481" s="3" t="s">
        <v>6932</v>
      </c>
      <c r="F481" s="3" t="s">
        <v>6933</v>
      </c>
    </row>
    <row r="482" spans="1:6" x14ac:dyDescent="0.35">
      <c r="A482" s="5">
        <f t="shared" ca="1" si="7"/>
        <v>45041</v>
      </c>
      <c r="B482" s="3" t="s">
        <v>1914</v>
      </c>
      <c r="C482" s="3" t="s">
        <v>1915</v>
      </c>
      <c r="D482" s="3" t="s">
        <v>1916</v>
      </c>
      <c r="E482" s="3" t="s">
        <v>6934</v>
      </c>
      <c r="F482" s="3" t="s">
        <v>6935</v>
      </c>
    </row>
    <row r="483" spans="1:6" x14ac:dyDescent="0.35">
      <c r="A483" s="5">
        <f t="shared" ca="1" si="7"/>
        <v>45042</v>
      </c>
      <c r="B483" s="3" t="s">
        <v>1917</v>
      </c>
      <c r="C483" s="3" t="s">
        <v>1918</v>
      </c>
      <c r="D483" s="3" t="s">
        <v>1919</v>
      </c>
      <c r="E483" s="3" t="s">
        <v>6936</v>
      </c>
      <c r="F483" s="3" t="s">
        <v>6937</v>
      </c>
    </row>
    <row r="484" spans="1:6" x14ac:dyDescent="0.35">
      <c r="A484" s="5">
        <f t="shared" ca="1" si="7"/>
        <v>45043</v>
      </c>
      <c r="B484" s="3" t="s">
        <v>1920</v>
      </c>
      <c r="C484" s="3" t="s">
        <v>1921</v>
      </c>
      <c r="D484" s="3" t="s">
        <v>1922</v>
      </c>
      <c r="E484" s="3" t="s">
        <v>6938</v>
      </c>
      <c r="F484" s="3" t="s">
        <v>6939</v>
      </c>
    </row>
    <row r="485" spans="1:6" x14ac:dyDescent="0.35">
      <c r="A485" s="5">
        <f t="shared" ca="1" si="7"/>
        <v>45044</v>
      </c>
      <c r="B485" s="3" t="s">
        <v>1923</v>
      </c>
      <c r="C485" s="3" t="s">
        <v>1924</v>
      </c>
      <c r="D485" s="3" t="s">
        <v>1925</v>
      </c>
      <c r="E485" s="3" t="s">
        <v>6940</v>
      </c>
      <c r="F485" s="3" t="s">
        <v>6941</v>
      </c>
    </row>
    <row r="486" spans="1:6" x14ac:dyDescent="0.35">
      <c r="A486" s="5">
        <f t="shared" ca="1" si="7"/>
        <v>45045</v>
      </c>
      <c r="B486" s="3" t="s">
        <v>1926</v>
      </c>
      <c r="C486" s="3" t="s">
        <v>1927</v>
      </c>
      <c r="D486" s="3" t="s">
        <v>1928</v>
      </c>
      <c r="E486" s="3" t="s">
        <v>6942</v>
      </c>
      <c r="F486" s="3" t="s">
        <v>6943</v>
      </c>
    </row>
    <row r="487" spans="1:6" x14ac:dyDescent="0.35">
      <c r="A487" s="5">
        <f t="shared" ca="1" si="7"/>
        <v>45046</v>
      </c>
      <c r="B487" s="3" t="s">
        <v>1929</v>
      </c>
      <c r="C487" s="3" t="s">
        <v>1930</v>
      </c>
      <c r="D487" s="3" t="s">
        <v>1931</v>
      </c>
      <c r="E487" s="3" t="s">
        <v>6944</v>
      </c>
      <c r="F487" s="3" t="s">
        <v>6945</v>
      </c>
    </row>
    <row r="488" spans="1:6" x14ac:dyDescent="0.35">
      <c r="A488" s="5">
        <f t="shared" ca="1" si="7"/>
        <v>45047</v>
      </c>
      <c r="B488" s="3" t="s">
        <v>1932</v>
      </c>
      <c r="C488" s="3" t="s">
        <v>1933</v>
      </c>
      <c r="D488" s="3" t="s">
        <v>1934</v>
      </c>
      <c r="E488" s="3" t="s">
        <v>6946</v>
      </c>
      <c r="F488" s="3" t="s">
        <v>6947</v>
      </c>
    </row>
    <row r="489" spans="1:6" x14ac:dyDescent="0.35">
      <c r="A489" s="5">
        <f t="shared" ca="1" si="7"/>
        <v>45048</v>
      </c>
      <c r="B489" s="3" t="s">
        <v>1935</v>
      </c>
      <c r="C489" s="3" t="s">
        <v>1936</v>
      </c>
      <c r="D489" s="3" t="s">
        <v>1937</v>
      </c>
      <c r="E489" s="3" t="s">
        <v>6948</v>
      </c>
      <c r="F489" s="3" t="s">
        <v>6949</v>
      </c>
    </row>
    <row r="490" spans="1:6" x14ac:dyDescent="0.35">
      <c r="A490" s="5">
        <f t="shared" ca="1" si="7"/>
        <v>45049</v>
      </c>
      <c r="B490" s="3" t="s">
        <v>1938</v>
      </c>
      <c r="C490" s="3" t="s">
        <v>1939</v>
      </c>
      <c r="D490" s="3" t="s">
        <v>1940</v>
      </c>
      <c r="E490" s="3" t="s">
        <v>6950</v>
      </c>
      <c r="F490" s="3" t="s">
        <v>6951</v>
      </c>
    </row>
    <row r="491" spans="1:6" x14ac:dyDescent="0.35">
      <c r="A491" s="5">
        <f t="shared" ca="1" si="7"/>
        <v>45050</v>
      </c>
      <c r="B491" s="3" t="s">
        <v>1941</v>
      </c>
      <c r="C491" s="3" t="s">
        <v>1942</v>
      </c>
      <c r="D491" s="3" t="s">
        <v>1943</v>
      </c>
      <c r="E491" s="3" t="s">
        <v>6952</v>
      </c>
      <c r="F491" s="3" t="s">
        <v>6953</v>
      </c>
    </row>
    <row r="492" spans="1:6" x14ac:dyDescent="0.35">
      <c r="A492" s="5">
        <f t="shared" ca="1" si="7"/>
        <v>45051</v>
      </c>
      <c r="B492" s="3" t="s">
        <v>1944</v>
      </c>
      <c r="C492" s="3" t="s">
        <v>1945</v>
      </c>
      <c r="D492" s="3" t="s">
        <v>1946</v>
      </c>
      <c r="E492" s="3" t="s">
        <v>6954</v>
      </c>
      <c r="F492" s="3" t="s">
        <v>6955</v>
      </c>
    </row>
    <row r="493" spans="1:6" x14ac:dyDescent="0.35">
      <c r="A493" s="5">
        <f t="shared" ca="1" si="7"/>
        <v>45052</v>
      </c>
      <c r="B493" s="3" t="s">
        <v>1947</v>
      </c>
      <c r="C493" s="3" t="s">
        <v>1948</v>
      </c>
      <c r="D493" s="3" t="s">
        <v>1949</v>
      </c>
      <c r="E493" s="3" t="s">
        <v>6956</v>
      </c>
      <c r="F493" s="3" t="s">
        <v>6957</v>
      </c>
    </row>
    <row r="494" spans="1:6" x14ac:dyDescent="0.35">
      <c r="A494" s="5">
        <f t="shared" ca="1" si="7"/>
        <v>45053</v>
      </c>
      <c r="B494" s="3" t="s">
        <v>1950</v>
      </c>
      <c r="C494" s="3" t="s">
        <v>1951</v>
      </c>
      <c r="D494" s="3" t="s">
        <v>1952</v>
      </c>
      <c r="E494" s="3" t="s">
        <v>6958</v>
      </c>
      <c r="F494" s="3" t="s">
        <v>6959</v>
      </c>
    </row>
    <row r="495" spans="1:6" x14ac:dyDescent="0.35">
      <c r="A495" s="5">
        <f t="shared" ca="1" si="7"/>
        <v>45054</v>
      </c>
      <c r="B495" s="3" t="s">
        <v>1953</v>
      </c>
      <c r="C495" s="3" t="s">
        <v>1954</v>
      </c>
      <c r="D495" s="3" t="s">
        <v>1955</v>
      </c>
      <c r="E495" s="3" t="s">
        <v>6960</v>
      </c>
      <c r="F495" s="3" t="s">
        <v>6961</v>
      </c>
    </row>
    <row r="496" spans="1:6" x14ac:dyDescent="0.35">
      <c r="A496" s="5">
        <f t="shared" ca="1" si="7"/>
        <v>45055</v>
      </c>
      <c r="B496" s="3" t="s">
        <v>1956</v>
      </c>
      <c r="C496" s="3" t="s">
        <v>1957</v>
      </c>
      <c r="D496" s="3" t="s">
        <v>1958</v>
      </c>
      <c r="E496" s="3" t="s">
        <v>6962</v>
      </c>
      <c r="F496" s="3" t="s">
        <v>6963</v>
      </c>
    </row>
    <row r="497" spans="1:6" x14ac:dyDescent="0.35">
      <c r="A497" s="5">
        <f t="shared" ca="1" si="7"/>
        <v>45056</v>
      </c>
      <c r="B497" s="3" t="s">
        <v>1959</v>
      </c>
      <c r="C497" s="3" t="s">
        <v>1960</v>
      </c>
      <c r="D497" s="3" t="s">
        <v>1961</v>
      </c>
      <c r="E497" s="3" t="s">
        <v>6964</v>
      </c>
      <c r="F497" s="3" t="s">
        <v>6965</v>
      </c>
    </row>
    <row r="498" spans="1:6" x14ac:dyDescent="0.35">
      <c r="A498" s="5">
        <f t="shared" ca="1" si="7"/>
        <v>45057</v>
      </c>
      <c r="B498" s="3" t="s">
        <v>1962</v>
      </c>
      <c r="C498" s="3" t="s">
        <v>1963</v>
      </c>
      <c r="D498" s="3" t="s">
        <v>1964</v>
      </c>
      <c r="E498" s="3" t="s">
        <v>6966</v>
      </c>
      <c r="F498" s="3" t="s">
        <v>6967</v>
      </c>
    </row>
    <row r="499" spans="1:6" x14ac:dyDescent="0.35">
      <c r="A499" s="5">
        <f t="shared" ca="1" si="7"/>
        <v>45058</v>
      </c>
      <c r="B499" s="3" t="s">
        <v>1965</v>
      </c>
      <c r="C499" s="3" t="s">
        <v>1966</v>
      </c>
      <c r="D499" s="3" t="s">
        <v>1967</v>
      </c>
      <c r="E499" s="3" t="s">
        <v>6968</v>
      </c>
      <c r="F499" s="3" t="s">
        <v>6969</v>
      </c>
    </row>
    <row r="500" spans="1:6" x14ac:dyDescent="0.35">
      <c r="A500" s="5">
        <f t="shared" ca="1" si="7"/>
        <v>45059</v>
      </c>
      <c r="B500" s="3" t="s">
        <v>1968</v>
      </c>
      <c r="C500" s="3" t="s">
        <v>1969</v>
      </c>
      <c r="D500" s="3" t="s">
        <v>1970</v>
      </c>
      <c r="E500" s="3" t="s">
        <v>6970</v>
      </c>
      <c r="F500" s="3" t="s">
        <v>6971</v>
      </c>
    </row>
    <row r="501" spans="1:6" x14ac:dyDescent="0.35">
      <c r="A501" s="5">
        <f t="shared" ca="1" si="7"/>
        <v>45060</v>
      </c>
      <c r="B501" s="3" t="s">
        <v>1971</v>
      </c>
      <c r="C501" s="3" t="s">
        <v>1972</v>
      </c>
      <c r="D501" s="3" t="s">
        <v>1973</v>
      </c>
      <c r="E501" s="3" t="s">
        <v>6972</v>
      </c>
      <c r="F501" s="3" t="s">
        <v>6973</v>
      </c>
    </row>
    <row r="502" spans="1:6" x14ac:dyDescent="0.35">
      <c r="A502" s="5">
        <f t="shared" ca="1" si="7"/>
        <v>45061</v>
      </c>
      <c r="B502" s="3" t="s">
        <v>1974</v>
      </c>
      <c r="C502" s="3" t="s">
        <v>1975</v>
      </c>
      <c r="D502" s="3" t="s">
        <v>1976</v>
      </c>
      <c r="E502" s="3" t="s">
        <v>6974</v>
      </c>
      <c r="F502" s="3" t="s">
        <v>6975</v>
      </c>
    </row>
    <row r="503" spans="1:6" x14ac:dyDescent="0.35">
      <c r="A503" s="5">
        <f t="shared" ca="1" si="7"/>
        <v>45062</v>
      </c>
      <c r="B503" s="3" t="s">
        <v>1977</v>
      </c>
      <c r="C503" s="3" t="s">
        <v>1978</v>
      </c>
      <c r="D503" s="3" t="s">
        <v>1979</v>
      </c>
      <c r="E503" s="3" t="s">
        <v>6976</v>
      </c>
      <c r="F503" s="3" t="s">
        <v>6977</v>
      </c>
    </row>
    <row r="504" spans="1:6" x14ac:dyDescent="0.35">
      <c r="A504" s="5">
        <f t="shared" ca="1" si="7"/>
        <v>45063</v>
      </c>
      <c r="B504" s="3" t="s">
        <v>1980</v>
      </c>
      <c r="C504" s="3" t="s">
        <v>1981</v>
      </c>
      <c r="D504" s="3" t="s">
        <v>1982</v>
      </c>
      <c r="E504" s="3" t="s">
        <v>6978</v>
      </c>
      <c r="F504" s="3" t="s">
        <v>6979</v>
      </c>
    </row>
    <row r="505" spans="1:6" x14ac:dyDescent="0.35">
      <c r="A505" s="5">
        <f t="shared" ca="1" si="7"/>
        <v>45064</v>
      </c>
      <c r="B505" s="3" t="s">
        <v>1983</v>
      </c>
      <c r="C505" s="3" t="s">
        <v>1984</v>
      </c>
      <c r="D505" s="3" t="s">
        <v>1985</v>
      </c>
      <c r="E505" s="3" t="s">
        <v>6980</v>
      </c>
      <c r="F505" s="3" t="s">
        <v>6981</v>
      </c>
    </row>
    <row r="506" spans="1:6" x14ac:dyDescent="0.35">
      <c r="A506" s="5">
        <f t="shared" ca="1" si="7"/>
        <v>45065</v>
      </c>
      <c r="B506" s="3" t="s">
        <v>1986</v>
      </c>
      <c r="C506" s="3" t="s">
        <v>1987</v>
      </c>
      <c r="D506" s="3" t="s">
        <v>1988</v>
      </c>
      <c r="E506" s="3" t="s">
        <v>6982</v>
      </c>
      <c r="F506" s="3" t="s">
        <v>6983</v>
      </c>
    </row>
    <row r="507" spans="1:6" x14ac:dyDescent="0.35">
      <c r="A507" s="5">
        <f t="shared" ca="1" si="7"/>
        <v>45066</v>
      </c>
      <c r="B507" s="3" t="s">
        <v>1989</v>
      </c>
      <c r="C507" s="3" t="s">
        <v>1990</v>
      </c>
      <c r="D507" s="3" t="s">
        <v>1991</v>
      </c>
      <c r="E507" s="3" t="s">
        <v>6984</v>
      </c>
      <c r="F507" s="3" t="s">
        <v>6985</v>
      </c>
    </row>
    <row r="508" spans="1:6" x14ac:dyDescent="0.35">
      <c r="A508" s="5">
        <f t="shared" ca="1" si="7"/>
        <v>45067</v>
      </c>
      <c r="B508" s="3" t="s">
        <v>1992</v>
      </c>
      <c r="C508" s="3" t="s">
        <v>1993</v>
      </c>
      <c r="D508" s="3" t="s">
        <v>1994</v>
      </c>
      <c r="E508" s="3" t="s">
        <v>6986</v>
      </c>
      <c r="F508" s="3" t="s">
        <v>6987</v>
      </c>
    </row>
    <row r="509" spans="1:6" x14ac:dyDescent="0.35">
      <c r="A509" s="5">
        <f t="shared" ca="1" si="7"/>
        <v>45068</v>
      </c>
      <c r="B509" s="3" t="s">
        <v>1995</v>
      </c>
      <c r="C509" s="3" t="s">
        <v>1996</v>
      </c>
      <c r="D509" s="3" t="s">
        <v>1997</v>
      </c>
      <c r="E509" s="3" t="s">
        <v>6988</v>
      </c>
      <c r="F509" s="3" t="s">
        <v>6989</v>
      </c>
    </row>
    <row r="510" spans="1:6" x14ac:dyDescent="0.35">
      <c r="A510" s="5">
        <f t="shared" ca="1" si="7"/>
        <v>45069</v>
      </c>
      <c r="B510" s="3" t="s">
        <v>1998</v>
      </c>
      <c r="C510" s="3" t="s">
        <v>1999</v>
      </c>
      <c r="D510" s="3" t="s">
        <v>2000</v>
      </c>
      <c r="E510" s="3" t="s">
        <v>6990</v>
      </c>
      <c r="F510" s="3" t="s">
        <v>6991</v>
      </c>
    </row>
    <row r="511" spans="1:6" x14ac:dyDescent="0.35">
      <c r="A511" s="5">
        <f t="shared" ca="1" si="7"/>
        <v>45070</v>
      </c>
      <c r="B511" s="3" t="s">
        <v>2001</v>
      </c>
      <c r="C511" s="3" t="s">
        <v>2002</v>
      </c>
      <c r="D511" s="3" t="s">
        <v>2003</v>
      </c>
      <c r="E511" s="3" t="s">
        <v>6992</v>
      </c>
      <c r="F511" s="3" t="s">
        <v>6993</v>
      </c>
    </row>
    <row r="512" spans="1:6" x14ac:dyDescent="0.35">
      <c r="A512" s="5">
        <f t="shared" ca="1" si="7"/>
        <v>45071</v>
      </c>
      <c r="B512" s="3" t="s">
        <v>2004</v>
      </c>
      <c r="C512" s="3" t="s">
        <v>2005</v>
      </c>
      <c r="D512" s="3" t="s">
        <v>2006</v>
      </c>
      <c r="E512" s="3" t="s">
        <v>6994</v>
      </c>
      <c r="F512" s="3" t="s">
        <v>6995</v>
      </c>
    </row>
    <row r="513" spans="1:6" x14ac:dyDescent="0.35">
      <c r="A513" s="5">
        <f t="shared" ca="1" si="7"/>
        <v>45072</v>
      </c>
      <c r="B513" s="3" t="s">
        <v>2007</v>
      </c>
      <c r="C513" s="3" t="s">
        <v>2008</v>
      </c>
      <c r="D513" s="3" t="s">
        <v>2009</v>
      </c>
      <c r="E513" s="3" t="s">
        <v>6996</v>
      </c>
      <c r="F513" s="3" t="s">
        <v>6997</v>
      </c>
    </row>
    <row r="514" spans="1:6" x14ac:dyDescent="0.35">
      <c r="A514" s="5">
        <f t="shared" ca="1" si="7"/>
        <v>45073</v>
      </c>
      <c r="B514" s="3" t="s">
        <v>2010</v>
      </c>
      <c r="C514" s="3" t="s">
        <v>2011</v>
      </c>
      <c r="D514" s="3" t="s">
        <v>2012</v>
      </c>
      <c r="E514" s="3" t="s">
        <v>6998</v>
      </c>
      <c r="F514" s="3" t="s">
        <v>6999</v>
      </c>
    </row>
    <row r="515" spans="1:6" x14ac:dyDescent="0.35">
      <c r="A515" s="5">
        <f t="shared" ca="1" si="7"/>
        <v>45074</v>
      </c>
      <c r="B515" s="3" t="s">
        <v>2013</v>
      </c>
      <c r="C515" s="3" t="s">
        <v>2014</v>
      </c>
      <c r="D515" s="3" t="s">
        <v>2015</v>
      </c>
      <c r="E515" s="3" t="s">
        <v>7000</v>
      </c>
      <c r="F515" s="3" t="s">
        <v>7001</v>
      </c>
    </row>
    <row r="516" spans="1:6" x14ac:dyDescent="0.35">
      <c r="A516" s="5">
        <f t="shared" ca="1" si="7"/>
        <v>45075</v>
      </c>
      <c r="B516" s="3" t="s">
        <v>2016</v>
      </c>
      <c r="C516" s="3" t="s">
        <v>2017</v>
      </c>
      <c r="D516" s="3" t="s">
        <v>2018</v>
      </c>
      <c r="E516" s="3" t="s">
        <v>7002</v>
      </c>
      <c r="F516" s="3" t="s">
        <v>7003</v>
      </c>
    </row>
    <row r="517" spans="1:6" x14ac:dyDescent="0.35">
      <c r="A517" s="5">
        <f t="shared" ref="A517:A580" ca="1" si="8">A516+1</f>
        <v>45076</v>
      </c>
      <c r="B517" s="3" t="s">
        <v>2019</v>
      </c>
      <c r="C517" s="3" t="s">
        <v>2020</v>
      </c>
      <c r="D517" s="3" t="s">
        <v>2021</v>
      </c>
      <c r="E517" s="3" t="s">
        <v>7004</v>
      </c>
      <c r="F517" s="3" t="s">
        <v>7005</v>
      </c>
    </row>
    <row r="518" spans="1:6" x14ac:dyDescent="0.35">
      <c r="A518" s="5">
        <f t="shared" ca="1" si="8"/>
        <v>45077</v>
      </c>
      <c r="B518" s="3" t="s">
        <v>2022</v>
      </c>
      <c r="C518" s="3" t="s">
        <v>2023</v>
      </c>
      <c r="D518" s="3" t="s">
        <v>2024</v>
      </c>
      <c r="E518" s="3" t="s">
        <v>7006</v>
      </c>
      <c r="F518" s="3" t="s">
        <v>7007</v>
      </c>
    </row>
    <row r="519" spans="1:6" x14ac:dyDescent="0.35">
      <c r="A519" s="5">
        <f t="shared" ca="1" si="8"/>
        <v>45078</v>
      </c>
      <c r="B519" s="3" t="s">
        <v>2025</v>
      </c>
      <c r="C519" s="3" t="s">
        <v>2026</v>
      </c>
      <c r="D519" s="3" t="s">
        <v>2027</v>
      </c>
      <c r="E519" s="3" t="s">
        <v>7008</v>
      </c>
      <c r="F519" s="3" t="s">
        <v>7009</v>
      </c>
    </row>
    <row r="520" spans="1:6" x14ac:dyDescent="0.35">
      <c r="A520" s="5">
        <f t="shared" ca="1" si="8"/>
        <v>45079</v>
      </c>
      <c r="B520" s="3" t="s">
        <v>2028</v>
      </c>
      <c r="C520" s="3" t="s">
        <v>2029</v>
      </c>
      <c r="D520" s="3" t="s">
        <v>2030</v>
      </c>
      <c r="E520" s="3" t="s">
        <v>7010</v>
      </c>
      <c r="F520" s="3" t="s">
        <v>7011</v>
      </c>
    </row>
    <row r="521" spans="1:6" x14ac:dyDescent="0.35">
      <c r="A521" s="5">
        <f t="shared" ca="1" si="8"/>
        <v>45080</v>
      </c>
      <c r="B521" s="3" t="s">
        <v>2031</v>
      </c>
      <c r="C521" s="3" t="s">
        <v>2032</v>
      </c>
      <c r="D521" s="3" t="s">
        <v>2033</v>
      </c>
      <c r="E521" s="3" t="s">
        <v>7012</v>
      </c>
      <c r="F521" s="3" t="s">
        <v>7013</v>
      </c>
    </row>
    <row r="522" spans="1:6" x14ac:dyDescent="0.35">
      <c r="A522" s="5">
        <f t="shared" ca="1" si="8"/>
        <v>45081</v>
      </c>
      <c r="B522" s="3" t="s">
        <v>2034</v>
      </c>
      <c r="C522" s="3" t="s">
        <v>2035</v>
      </c>
      <c r="D522" s="3" t="s">
        <v>2036</v>
      </c>
      <c r="E522" s="3" t="s">
        <v>7014</v>
      </c>
      <c r="F522" s="3" t="s">
        <v>7015</v>
      </c>
    </row>
    <row r="523" spans="1:6" x14ac:dyDescent="0.35">
      <c r="A523" s="5">
        <f t="shared" ca="1" si="8"/>
        <v>45082</v>
      </c>
      <c r="B523" s="3" t="s">
        <v>2037</v>
      </c>
      <c r="C523" s="3" t="s">
        <v>2038</v>
      </c>
      <c r="D523" s="3" t="s">
        <v>2039</v>
      </c>
      <c r="E523" s="3" t="s">
        <v>7016</v>
      </c>
      <c r="F523" s="3" t="s">
        <v>7017</v>
      </c>
    </row>
    <row r="524" spans="1:6" x14ac:dyDescent="0.35">
      <c r="A524" s="5">
        <f t="shared" ca="1" si="8"/>
        <v>45083</v>
      </c>
      <c r="B524" s="3" t="s">
        <v>2040</v>
      </c>
      <c r="C524" s="3" t="s">
        <v>2041</v>
      </c>
      <c r="D524" s="3" t="s">
        <v>2042</v>
      </c>
      <c r="E524" s="3" t="s">
        <v>7018</v>
      </c>
      <c r="F524" s="3" t="s">
        <v>7019</v>
      </c>
    </row>
    <row r="525" spans="1:6" x14ac:dyDescent="0.35">
      <c r="A525" s="5">
        <f t="shared" ca="1" si="8"/>
        <v>45084</v>
      </c>
      <c r="B525" s="3" t="s">
        <v>2043</v>
      </c>
      <c r="C525" s="3" t="s">
        <v>2044</v>
      </c>
      <c r="D525" s="3" t="s">
        <v>2045</v>
      </c>
      <c r="E525" s="3" t="s">
        <v>7020</v>
      </c>
      <c r="F525" s="3" t="s">
        <v>7021</v>
      </c>
    </row>
    <row r="526" spans="1:6" x14ac:dyDescent="0.35">
      <c r="A526" s="5">
        <f t="shared" ca="1" si="8"/>
        <v>45085</v>
      </c>
      <c r="B526" s="3" t="s">
        <v>2046</v>
      </c>
      <c r="C526" s="3" t="s">
        <v>2047</v>
      </c>
      <c r="D526" s="3" t="s">
        <v>2048</v>
      </c>
      <c r="E526" s="3" t="s">
        <v>7022</v>
      </c>
      <c r="F526" s="3" t="s">
        <v>7023</v>
      </c>
    </row>
    <row r="527" spans="1:6" x14ac:dyDescent="0.35">
      <c r="A527" s="5">
        <f t="shared" ca="1" si="8"/>
        <v>45086</v>
      </c>
      <c r="B527" s="3" t="s">
        <v>2049</v>
      </c>
      <c r="C527" s="3" t="s">
        <v>2050</v>
      </c>
      <c r="D527" s="3" t="s">
        <v>2051</v>
      </c>
      <c r="E527" s="3" t="s">
        <v>7024</v>
      </c>
      <c r="F527" s="3" t="s">
        <v>7025</v>
      </c>
    </row>
    <row r="528" spans="1:6" x14ac:dyDescent="0.35">
      <c r="A528" s="5">
        <f t="shared" ca="1" si="8"/>
        <v>45087</v>
      </c>
      <c r="B528" s="3" t="s">
        <v>2052</v>
      </c>
      <c r="C528" s="3" t="s">
        <v>2053</v>
      </c>
      <c r="D528" s="3" t="s">
        <v>2054</v>
      </c>
      <c r="E528" s="3" t="s">
        <v>7026</v>
      </c>
      <c r="F528" s="3" t="s">
        <v>7027</v>
      </c>
    </row>
    <row r="529" spans="1:6" x14ac:dyDescent="0.35">
      <c r="A529" s="5">
        <f t="shared" ca="1" si="8"/>
        <v>45088</v>
      </c>
      <c r="B529" s="3" t="s">
        <v>2055</v>
      </c>
      <c r="C529" s="3" t="s">
        <v>2056</v>
      </c>
      <c r="D529" s="3" t="s">
        <v>2057</v>
      </c>
      <c r="E529" s="3" t="s">
        <v>7028</v>
      </c>
      <c r="F529" s="3" t="s">
        <v>7029</v>
      </c>
    </row>
    <row r="530" spans="1:6" x14ac:dyDescent="0.35">
      <c r="A530" s="5">
        <f t="shared" ca="1" si="8"/>
        <v>45089</v>
      </c>
      <c r="B530" s="3" t="s">
        <v>2058</v>
      </c>
      <c r="C530" s="3" t="s">
        <v>2059</v>
      </c>
      <c r="D530" s="3" t="s">
        <v>2060</v>
      </c>
      <c r="E530" s="3" t="s">
        <v>7030</v>
      </c>
      <c r="F530" s="3" t="s">
        <v>7031</v>
      </c>
    </row>
    <row r="531" spans="1:6" x14ac:dyDescent="0.35">
      <c r="A531" s="5">
        <f t="shared" ca="1" si="8"/>
        <v>45090</v>
      </c>
      <c r="B531" s="3" t="s">
        <v>2061</v>
      </c>
      <c r="C531" s="3" t="s">
        <v>2062</v>
      </c>
      <c r="D531" s="3" t="s">
        <v>2063</v>
      </c>
      <c r="E531" s="3" t="s">
        <v>7032</v>
      </c>
      <c r="F531" s="3" t="s">
        <v>7033</v>
      </c>
    </row>
    <row r="532" spans="1:6" x14ac:dyDescent="0.35">
      <c r="A532" s="5">
        <f t="shared" ca="1" si="8"/>
        <v>45091</v>
      </c>
      <c r="B532" s="3" t="s">
        <v>2064</v>
      </c>
      <c r="C532" s="3" t="s">
        <v>2065</v>
      </c>
      <c r="D532" s="3" t="s">
        <v>2066</v>
      </c>
      <c r="E532" s="3" t="s">
        <v>7034</v>
      </c>
      <c r="F532" s="3" t="s">
        <v>7035</v>
      </c>
    </row>
    <row r="533" spans="1:6" x14ac:dyDescent="0.35">
      <c r="A533" s="5">
        <f t="shared" ca="1" si="8"/>
        <v>45092</v>
      </c>
      <c r="B533" s="3" t="s">
        <v>2067</v>
      </c>
      <c r="C533" s="3" t="s">
        <v>2068</v>
      </c>
      <c r="D533" s="3" t="s">
        <v>2069</v>
      </c>
      <c r="E533" s="3" t="s">
        <v>7036</v>
      </c>
      <c r="F533" s="3" t="s">
        <v>7037</v>
      </c>
    </row>
    <row r="534" spans="1:6" x14ac:dyDescent="0.35">
      <c r="A534" s="5">
        <f t="shared" ca="1" si="8"/>
        <v>45093</v>
      </c>
      <c r="B534" s="3" t="s">
        <v>2070</v>
      </c>
      <c r="C534" s="3" t="s">
        <v>2071</v>
      </c>
      <c r="D534" s="3" t="s">
        <v>2072</v>
      </c>
      <c r="E534" s="3" t="s">
        <v>7038</v>
      </c>
      <c r="F534" s="3" t="s">
        <v>7039</v>
      </c>
    </row>
    <row r="535" spans="1:6" x14ac:dyDescent="0.35">
      <c r="A535" s="5">
        <f t="shared" ca="1" si="8"/>
        <v>45094</v>
      </c>
      <c r="B535" s="3" t="s">
        <v>2073</v>
      </c>
      <c r="C535" s="3" t="s">
        <v>2074</v>
      </c>
      <c r="D535" s="3" t="s">
        <v>2075</v>
      </c>
      <c r="E535" s="3" t="s">
        <v>7040</v>
      </c>
      <c r="F535" s="3" t="s">
        <v>7041</v>
      </c>
    </row>
    <row r="536" spans="1:6" x14ac:dyDescent="0.35">
      <c r="A536" s="5">
        <f t="shared" ca="1" si="8"/>
        <v>45095</v>
      </c>
      <c r="B536" s="3" t="s">
        <v>2076</v>
      </c>
      <c r="C536" s="3" t="s">
        <v>2077</v>
      </c>
      <c r="D536" s="3" t="s">
        <v>2078</v>
      </c>
      <c r="E536" s="3" t="s">
        <v>7042</v>
      </c>
      <c r="F536" s="3" t="s">
        <v>7043</v>
      </c>
    </row>
    <row r="537" spans="1:6" x14ac:dyDescent="0.35">
      <c r="A537" s="5">
        <f t="shared" ca="1" si="8"/>
        <v>45096</v>
      </c>
      <c r="B537" s="3" t="s">
        <v>2079</v>
      </c>
      <c r="C537" s="3" t="s">
        <v>2080</v>
      </c>
      <c r="D537" s="3" t="s">
        <v>2081</v>
      </c>
      <c r="E537" s="3" t="s">
        <v>7044</v>
      </c>
      <c r="F537" s="3" t="s">
        <v>7045</v>
      </c>
    </row>
    <row r="538" spans="1:6" x14ac:dyDescent="0.35">
      <c r="A538" s="5">
        <f t="shared" ca="1" si="8"/>
        <v>45097</v>
      </c>
      <c r="B538" s="3" t="s">
        <v>2082</v>
      </c>
      <c r="C538" s="3" t="s">
        <v>2083</v>
      </c>
      <c r="D538" s="3" t="s">
        <v>2084</v>
      </c>
      <c r="E538" s="3" t="s">
        <v>7046</v>
      </c>
      <c r="F538" s="3" t="s">
        <v>7047</v>
      </c>
    </row>
    <row r="539" spans="1:6" x14ac:dyDescent="0.35">
      <c r="A539" s="5">
        <f t="shared" ca="1" si="8"/>
        <v>45098</v>
      </c>
      <c r="B539" s="3" t="s">
        <v>2085</v>
      </c>
      <c r="C539" s="3" t="s">
        <v>2086</v>
      </c>
      <c r="D539" s="3" t="s">
        <v>2087</v>
      </c>
      <c r="E539" s="3" t="s">
        <v>7048</v>
      </c>
      <c r="F539" s="3" t="s">
        <v>7049</v>
      </c>
    </row>
    <row r="540" spans="1:6" x14ac:dyDescent="0.35">
      <c r="A540" s="5">
        <f t="shared" ca="1" si="8"/>
        <v>45099</v>
      </c>
      <c r="B540" s="3" t="s">
        <v>2088</v>
      </c>
      <c r="C540" s="3" t="s">
        <v>2089</v>
      </c>
      <c r="D540" s="3" t="s">
        <v>2090</v>
      </c>
      <c r="E540" s="3" t="s">
        <v>7050</v>
      </c>
      <c r="F540" s="3" t="s">
        <v>7051</v>
      </c>
    </row>
    <row r="541" spans="1:6" x14ac:dyDescent="0.35">
      <c r="A541" s="5">
        <f t="shared" ca="1" si="8"/>
        <v>45100</v>
      </c>
      <c r="B541" s="3" t="s">
        <v>2091</v>
      </c>
      <c r="C541" s="3" t="s">
        <v>2092</v>
      </c>
      <c r="D541" s="3" t="s">
        <v>2093</v>
      </c>
      <c r="E541" s="3" t="s">
        <v>7052</v>
      </c>
      <c r="F541" s="3" t="s">
        <v>7053</v>
      </c>
    </row>
    <row r="542" spans="1:6" x14ac:dyDescent="0.35">
      <c r="A542" s="5">
        <f t="shared" ca="1" si="8"/>
        <v>45101</v>
      </c>
      <c r="B542" s="3" t="s">
        <v>2094</v>
      </c>
      <c r="C542" s="3" t="s">
        <v>2095</v>
      </c>
      <c r="D542" s="3" t="s">
        <v>2096</v>
      </c>
      <c r="E542" s="3" t="s">
        <v>7054</v>
      </c>
      <c r="F542" s="3" t="s">
        <v>7055</v>
      </c>
    </row>
    <row r="543" spans="1:6" x14ac:dyDescent="0.35">
      <c r="A543" s="5">
        <f t="shared" ca="1" si="8"/>
        <v>45102</v>
      </c>
      <c r="B543" s="3" t="s">
        <v>2097</v>
      </c>
      <c r="C543" s="3" t="s">
        <v>2098</v>
      </c>
      <c r="D543" s="3" t="s">
        <v>2099</v>
      </c>
      <c r="E543" s="3" t="s">
        <v>7056</v>
      </c>
      <c r="F543" s="3" t="s">
        <v>7057</v>
      </c>
    </row>
    <row r="544" spans="1:6" x14ac:dyDescent="0.35">
      <c r="A544" s="5">
        <f t="shared" ca="1" si="8"/>
        <v>45103</v>
      </c>
      <c r="B544" s="3" t="s">
        <v>2100</v>
      </c>
      <c r="C544" s="3" t="s">
        <v>2101</v>
      </c>
      <c r="D544" s="3" t="s">
        <v>2102</v>
      </c>
      <c r="E544" s="3" t="s">
        <v>7058</v>
      </c>
      <c r="F544" s="3" t="s">
        <v>7059</v>
      </c>
    </row>
    <row r="545" spans="1:6" x14ac:dyDescent="0.35">
      <c r="A545" s="5">
        <f t="shared" ca="1" si="8"/>
        <v>45104</v>
      </c>
      <c r="B545" s="3" t="s">
        <v>2103</v>
      </c>
      <c r="C545" s="3" t="s">
        <v>2104</v>
      </c>
      <c r="D545" s="3" t="s">
        <v>2105</v>
      </c>
      <c r="E545" s="3" t="s">
        <v>7060</v>
      </c>
      <c r="F545" s="3" t="s">
        <v>7061</v>
      </c>
    </row>
    <row r="546" spans="1:6" x14ac:dyDescent="0.35">
      <c r="A546" s="5">
        <f t="shared" ca="1" si="8"/>
        <v>45105</v>
      </c>
      <c r="B546" s="3" t="s">
        <v>2106</v>
      </c>
      <c r="C546" s="3" t="s">
        <v>2107</v>
      </c>
      <c r="D546" s="3" t="s">
        <v>2108</v>
      </c>
      <c r="E546" s="3" t="s">
        <v>7062</v>
      </c>
      <c r="F546" s="3" t="s">
        <v>7063</v>
      </c>
    </row>
    <row r="547" spans="1:6" x14ac:dyDescent="0.35">
      <c r="A547" s="5">
        <f t="shared" ca="1" si="8"/>
        <v>45106</v>
      </c>
      <c r="B547" s="3" t="s">
        <v>2109</v>
      </c>
      <c r="C547" s="3" t="s">
        <v>2110</v>
      </c>
      <c r="D547" s="3" t="s">
        <v>2111</v>
      </c>
      <c r="E547" s="3" t="s">
        <v>7064</v>
      </c>
      <c r="F547" s="3" t="s">
        <v>7065</v>
      </c>
    </row>
    <row r="548" spans="1:6" x14ac:dyDescent="0.35">
      <c r="A548" s="5">
        <f t="shared" ca="1" si="8"/>
        <v>45107</v>
      </c>
      <c r="B548" s="3" t="s">
        <v>2112</v>
      </c>
      <c r="C548" s="3" t="s">
        <v>2113</v>
      </c>
      <c r="D548" s="3" t="s">
        <v>2114</v>
      </c>
      <c r="E548" s="3" t="s">
        <v>7066</v>
      </c>
      <c r="F548" s="3" t="s">
        <v>7067</v>
      </c>
    </row>
    <row r="549" spans="1:6" x14ac:dyDescent="0.35">
      <c r="A549" s="5">
        <f t="shared" ca="1" si="8"/>
        <v>45108</v>
      </c>
      <c r="B549" s="3" t="s">
        <v>2115</v>
      </c>
      <c r="C549" s="3" t="s">
        <v>2116</v>
      </c>
      <c r="D549" s="3" t="s">
        <v>2117</v>
      </c>
      <c r="E549" s="3" t="s">
        <v>7068</v>
      </c>
      <c r="F549" s="3" t="s">
        <v>7069</v>
      </c>
    </row>
    <row r="550" spans="1:6" x14ac:dyDescent="0.35">
      <c r="A550" s="5">
        <f t="shared" ca="1" si="8"/>
        <v>45109</v>
      </c>
      <c r="B550" s="3" t="s">
        <v>2118</v>
      </c>
      <c r="C550" s="3" t="s">
        <v>2119</v>
      </c>
      <c r="D550" s="3" t="s">
        <v>2120</v>
      </c>
      <c r="E550" s="3" t="s">
        <v>7070</v>
      </c>
      <c r="F550" s="3" t="s">
        <v>7071</v>
      </c>
    </row>
    <row r="551" spans="1:6" x14ac:dyDescent="0.35">
      <c r="A551" s="5">
        <f t="shared" ca="1" si="8"/>
        <v>45110</v>
      </c>
      <c r="B551" s="3" t="s">
        <v>2121</v>
      </c>
      <c r="C551" s="3" t="s">
        <v>2122</v>
      </c>
      <c r="D551" s="3" t="s">
        <v>2123</v>
      </c>
      <c r="E551" s="3" t="s">
        <v>7072</v>
      </c>
      <c r="F551" s="3" t="s">
        <v>7073</v>
      </c>
    </row>
    <row r="552" spans="1:6" x14ac:dyDescent="0.35">
      <c r="A552" s="5">
        <f t="shared" ca="1" si="8"/>
        <v>45111</v>
      </c>
      <c r="B552" s="3" t="s">
        <v>2124</v>
      </c>
      <c r="C552" s="3" t="s">
        <v>2125</v>
      </c>
      <c r="D552" s="3" t="s">
        <v>2126</v>
      </c>
      <c r="E552" s="3" t="s">
        <v>7074</v>
      </c>
      <c r="F552" s="3" t="s">
        <v>7075</v>
      </c>
    </row>
    <row r="553" spans="1:6" x14ac:dyDescent="0.35">
      <c r="A553" s="5">
        <f t="shared" ca="1" si="8"/>
        <v>45112</v>
      </c>
      <c r="B553" s="3" t="s">
        <v>2127</v>
      </c>
      <c r="C553" s="3" t="s">
        <v>2128</v>
      </c>
      <c r="D553" s="3" t="s">
        <v>2129</v>
      </c>
      <c r="E553" s="3" t="s">
        <v>7076</v>
      </c>
      <c r="F553" s="3" t="s">
        <v>7077</v>
      </c>
    </row>
    <row r="554" spans="1:6" x14ac:dyDescent="0.35">
      <c r="A554" s="5">
        <f t="shared" ca="1" si="8"/>
        <v>45113</v>
      </c>
      <c r="B554" s="3" t="s">
        <v>2130</v>
      </c>
      <c r="C554" s="3" t="s">
        <v>2131</v>
      </c>
      <c r="D554" s="3" t="s">
        <v>2132</v>
      </c>
      <c r="E554" s="3" t="s">
        <v>7078</v>
      </c>
      <c r="F554" s="3" t="s">
        <v>7079</v>
      </c>
    </row>
    <row r="555" spans="1:6" x14ac:dyDescent="0.35">
      <c r="A555" s="5">
        <f t="shared" ca="1" si="8"/>
        <v>45114</v>
      </c>
      <c r="B555" s="3" t="s">
        <v>2133</v>
      </c>
      <c r="C555" s="3" t="s">
        <v>2134</v>
      </c>
      <c r="D555" s="3" t="s">
        <v>2135</v>
      </c>
      <c r="E555" s="3" t="s">
        <v>7080</v>
      </c>
      <c r="F555" s="3" t="s">
        <v>7081</v>
      </c>
    </row>
    <row r="556" spans="1:6" x14ac:dyDescent="0.35">
      <c r="A556" s="5">
        <f t="shared" ca="1" si="8"/>
        <v>45115</v>
      </c>
      <c r="B556" s="3" t="s">
        <v>2136</v>
      </c>
      <c r="C556" s="3" t="s">
        <v>2137</v>
      </c>
      <c r="D556" s="3" t="s">
        <v>2138</v>
      </c>
      <c r="E556" s="3" t="s">
        <v>7082</v>
      </c>
      <c r="F556" s="3" t="s">
        <v>7083</v>
      </c>
    </row>
    <row r="557" spans="1:6" x14ac:dyDescent="0.35">
      <c r="A557" s="5">
        <f t="shared" ca="1" si="8"/>
        <v>45116</v>
      </c>
      <c r="B557" s="3" t="s">
        <v>2139</v>
      </c>
      <c r="C557" s="3" t="s">
        <v>2140</v>
      </c>
      <c r="D557" s="3" t="s">
        <v>2141</v>
      </c>
      <c r="E557" s="3" t="s">
        <v>7084</v>
      </c>
      <c r="F557" s="3" t="s">
        <v>7085</v>
      </c>
    </row>
    <row r="558" spans="1:6" x14ac:dyDescent="0.35">
      <c r="A558" s="5">
        <f t="shared" ca="1" si="8"/>
        <v>45117</v>
      </c>
      <c r="B558" s="3" t="s">
        <v>2142</v>
      </c>
      <c r="C558" s="3" t="s">
        <v>2143</v>
      </c>
      <c r="D558" s="3" t="s">
        <v>2144</v>
      </c>
      <c r="E558" s="3" t="s">
        <v>7086</v>
      </c>
      <c r="F558" s="3" t="s">
        <v>7087</v>
      </c>
    </row>
    <row r="559" spans="1:6" x14ac:dyDescent="0.35">
      <c r="A559" s="5">
        <f t="shared" ca="1" si="8"/>
        <v>45118</v>
      </c>
      <c r="B559" s="3" t="s">
        <v>2145</v>
      </c>
      <c r="C559" s="3" t="s">
        <v>2146</v>
      </c>
      <c r="D559" s="3" t="s">
        <v>2147</v>
      </c>
      <c r="E559" s="3" t="s">
        <v>7088</v>
      </c>
      <c r="F559" s="3" t="s">
        <v>7089</v>
      </c>
    </row>
    <row r="560" spans="1:6" x14ac:dyDescent="0.35">
      <c r="A560" s="5">
        <f t="shared" ca="1" si="8"/>
        <v>45119</v>
      </c>
      <c r="B560" s="3" t="s">
        <v>2148</v>
      </c>
      <c r="C560" s="3" t="s">
        <v>2149</v>
      </c>
      <c r="D560" s="3" t="s">
        <v>2150</v>
      </c>
      <c r="E560" s="3" t="s">
        <v>7090</v>
      </c>
      <c r="F560" s="3" t="s">
        <v>7091</v>
      </c>
    </row>
    <row r="561" spans="1:6" x14ac:dyDescent="0.35">
      <c r="A561" s="5">
        <f t="shared" ca="1" si="8"/>
        <v>45120</v>
      </c>
      <c r="B561" s="3" t="s">
        <v>2151</v>
      </c>
      <c r="C561" s="3" t="s">
        <v>2152</v>
      </c>
      <c r="D561" s="3" t="s">
        <v>2153</v>
      </c>
      <c r="E561" s="3" t="s">
        <v>7092</v>
      </c>
      <c r="F561" s="3" t="s">
        <v>7093</v>
      </c>
    </row>
    <row r="562" spans="1:6" x14ac:dyDescent="0.35">
      <c r="A562" s="5">
        <f t="shared" ca="1" si="8"/>
        <v>45121</v>
      </c>
      <c r="B562" s="3" t="s">
        <v>2154</v>
      </c>
      <c r="C562" s="3" t="s">
        <v>2155</v>
      </c>
      <c r="D562" s="3" t="s">
        <v>2156</v>
      </c>
      <c r="E562" s="3" t="s">
        <v>7094</v>
      </c>
      <c r="F562" s="3" t="s">
        <v>7095</v>
      </c>
    </row>
    <row r="563" spans="1:6" x14ac:dyDescent="0.35">
      <c r="A563" s="5">
        <f t="shared" ca="1" si="8"/>
        <v>45122</v>
      </c>
      <c r="B563" s="3" t="s">
        <v>2157</v>
      </c>
      <c r="C563" s="3" t="s">
        <v>2158</v>
      </c>
      <c r="D563" s="3" t="s">
        <v>2159</v>
      </c>
      <c r="E563" s="3" t="s">
        <v>7096</v>
      </c>
      <c r="F563" s="3" t="s">
        <v>7097</v>
      </c>
    </row>
    <row r="564" spans="1:6" x14ac:dyDescent="0.35">
      <c r="A564" s="5">
        <f t="shared" ca="1" si="8"/>
        <v>45123</v>
      </c>
      <c r="B564" s="3" t="s">
        <v>2160</v>
      </c>
      <c r="C564" s="3" t="s">
        <v>2161</v>
      </c>
      <c r="D564" s="3" t="s">
        <v>2162</v>
      </c>
      <c r="E564" s="3" t="s">
        <v>7098</v>
      </c>
      <c r="F564" s="3" t="s">
        <v>7099</v>
      </c>
    </row>
    <row r="565" spans="1:6" x14ac:dyDescent="0.35">
      <c r="A565" s="5">
        <f t="shared" ca="1" si="8"/>
        <v>45124</v>
      </c>
      <c r="B565" s="3" t="s">
        <v>2163</v>
      </c>
      <c r="C565" s="3" t="s">
        <v>2164</v>
      </c>
      <c r="D565" s="3" t="s">
        <v>2165</v>
      </c>
      <c r="E565" s="3" t="s">
        <v>7100</v>
      </c>
      <c r="F565" s="3" t="s">
        <v>7101</v>
      </c>
    </row>
    <row r="566" spans="1:6" x14ac:dyDescent="0.35">
      <c r="A566" s="5">
        <f t="shared" ca="1" si="8"/>
        <v>45125</v>
      </c>
      <c r="B566" s="3" t="s">
        <v>2166</v>
      </c>
      <c r="C566" s="3" t="s">
        <v>2167</v>
      </c>
      <c r="D566" s="3" t="s">
        <v>2168</v>
      </c>
      <c r="E566" s="3" t="s">
        <v>7102</v>
      </c>
      <c r="F566" s="3" t="s">
        <v>7103</v>
      </c>
    </row>
    <row r="567" spans="1:6" x14ac:dyDescent="0.35">
      <c r="A567" s="5">
        <f t="shared" ca="1" si="8"/>
        <v>45126</v>
      </c>
      <c r="B567" s="3" t="s">
        <v>2169</v>
      </c>
      <c r="C567" s="3" t="s">
        <v>2170</v>
      </c>
      <c r="D567" s="3" t="s">
        <v>2171</v>
      </c>
      <c r="E567" s="3" t="s">
        <v>7104</v>
      </c>
      <c r="F567" s="3" t="s">
        <v>7105</v>
      </c>
    </row>
    <row r="568" spans="1:6" x14ac:dyDescent="0.35">
      <c r="A568" s="5">
        <f t="shared" ca="1" si="8"/>
        <v>45127</v>
      </c>
      <c r="B568" s="3" t="s">
        <v>2172</v>
      </c>
      <c r="C568" s="3" t="s">
        <v>2173</v>
      </c>
      <c r="D568" s="3" t="s">
        <v>2174</v>
      </c>
      <c r="E568" s="3" t="s">
        <v>7106</v>
      </c>
      <c r="F568" s="3" t="s">
        <v>7107</v>
      </c>
    </row>
    <row r="569" spans="1:6" x14ac:dyDescent="0.35">
      <c r="A569" s="5">
        <f t="shared" ca="1" si="8"/>
        <v>45128</v>
      </c>
      <c r="B569" s="3" t="s">
        <v>2175</v>
      </c>
      <c r="C569" s="3" t="s">
        <v>2176</v>
      </c>
      <c r="D569" s="3" t="s">
        <v>2177</v>
      </c>
      <c r="E569" s="3" t="s">
        <v>7108</v>
      </c>
      <c r="F569" s="3" t="s">
        <v>7109</v>
      </c>
    </row>
    <row r="570" spans="1:6" x14ac:dyDescent="0.35">
      <c r="A570" s="5">
        <f t="shared" ca="1" si="8"/>
        <v>45129</v>
      </c>
      <c r="B570" s="3" t="s">
        <v>2178</v>
      </c>
      <c r="C570" s="3" t="s">
        <v>2179</v>
      </c>
      <c r="D570" s="3" t="s">
        <v>2180</v>
      </c>
      <c r="E570" s="3" t="s">
        <v>7110</v>
      </c>
      <c r="F570" s="3" t="s">
        <v>7111</v>
      </c>
    </row>
    <row r="571" spans="1:6" x14ac:dyDescent="0.35">
      <c r="A571" s="5">
        <f t="shared" ca="1" si="8"/>
        <v>45130</v>
      </c>
      <c r="B571" s="3" t="s">
        <v>2181</v>
      </c>
      <c r="C571" s="3" t="s">
        <v>2182</v>
      </c>
      <c r="D571" s="3" t="s">
        <v>2183</v>
      </c>
      <c r="E571" s="3" t="s">
        <v>7112</v>
      </c>
      <c r="F571" s="3" t="s">
        <v>7113</v>
      </c>
    </row>
    <row r="572" spans="1:6" x14ac:dyDescent="0.35">
      <c r="A572" s="5">
        <f t="shared" ca="1" si="8"/>
        <v>45131</v>
      </c>
      <c r="B572" s="3" t="s">
        <v>2184</v>
      </c>
      <c r="C572" s="3" t="s">
        <v>2185</v>
      </c>
      <c r="D572" s="3" t="s">
        <v>2186</v>
      </c>
      <c r="E572" s="3" t="s">
        <v>7114</v>
      </c>
      <c r="F572" s="3" t="s">
        <v>7115</v>
      </c>
    </row>
    <row r="573" spans="1:6" x14ac:dyDescent="0.35">
      <c r="A573" s="5">
        <f t="shared" ca="1" si="8"/>
        <v>45132</v>
      </c>
      <c r="B573" s="3" t="s">
        <v>2187</v>
      </c>
      <c r="C573" s="3" t="s">
        <v>2188</v>
      </c>
      <c r="D573" s="3" t="s">
        <v>2189</v>
      </c>
      <c r="E573" s="3" t="s">
        <v>7116</v>
      </c>
      <c r="F573" s="3" t="s">
        <v>7117</v>
      </c>
    </row>
    <row r="574" spans="1:6" x14ac:dyDescent="0.35">
      <c r="A574" s="5">
        <f t="shared" ca="1" si="8"/>
        <v>45133</v>
      </c>
      <c r="B574" s="3" t="s">
        <v>2190</v>
      </c>
      <c r="C574" s="3" t="s">
        <v>2191</v>
      </c>
      <c r="D574" s="3" t="s">
        <v>2192</v>
      </c>
      <c r="E574" s="3" t="s">
        <v>7118</v>
      </c>
      <c r="F574" s="3" t="s">
        <v>7119</v>
      </c>
    </row>
    <row r="575" spans="1:6" x14ac:dyDescent="0.35">
      <c r="A575" s="5">
        <f t="shared" ca="1" si="8"/>
        <v>45134</v>
      </c>
      <c r="B575" s="3" t="s">
        <v>2193</v>
      </c>
      <c r="C575" s="3" t="s">
        <v>2194</v>
      </c>
      <c r="D575" s="3" t="s">
        <v>2195</v>
      </c>
      <c r="E575" s="3" t="s">
        <v>7120</v>
      </c>
      <c r="F575" s="3" t="s">
        <v>7121</v>
      </c>
    </row>
    <row r="576" spans="1:6" x14ac:dyDescent="0.35">
      <c r="A576" s="5">
        <f t="shared" ca="1" si="8"/>
        <v>45135</v>
      </c>
      <c r="B576" s="3" t="s">
        <v>2196</v>
      </c>
      <c r="C576" s="3" t="s">
        <v>2197</v>
      </c>
      <c r="D576" s="3" t="s">
        <v>2198</v>
      </c>
      <c r="E576" s="3" t="s">
        <v>7122</v>
      </c>
      <c r="F576" s="3" t="s">
        <v>7123</v>
      </c>
    </row>
    <row r="577" spans="1:6" x14ac:dyDescent="0.35">
      <c r="A577" s="5">
        <f t="shared" ca="1" si="8"/>
        <v>45136</v>
      </c>
      <c r="B577" s="3" t="s">
        <v>2199</v>
      </c>
      <c r="C577" s="3" t="s">
        <v>2200</v>
      </c>
      <c r="D577" s="3" t="s">
        <v>2201</v>
      </c>
      <c r="E577" s="3" t="s">
        <v>7124</v>
      </c>
      <c r="F577" s="3" t="s">
        <v>7125</v>
      </c>
    </row>
    <row r="578" spans="1:6" x14ac:dyDescent="0.35">
      <c r="A578" s="5">
        <f t="shared" ca="1" si="8"/>
        <v>45137</v>
      </c>
      <c r="B578" s="3" t="s">
        <v>2202</v>
      </c>
      <c r="C578" s="3" t="s">
        <v>2203</v>
      </c>
      <c r="D578" s="3" t="s">
        <v>2204</v>
      </c>
      <c r="E578" s="3" t="s">
        <v>7126</v>
      </c>
      <c r="F578" s="3" t="s">
        <v>7127</v>
      </c>
    </row>
    <row r="579" spans="1:6" x14ac:dyDescent="0.35">
      <c r="A579" s="5">
        <f t="shared" ca="1" si="8"/>
        <v>45138</v>
      </c>
      <c r="B579" s="3" t="s">
        <v>2205</v>
      </c>
      <c r="C579" s="3" t="s">
        <v>2206</v>
      </c>
      <c r="D579" s="3" t="s">
        <v>2207</v>
      </c>
      <c r="E579" s="3" t="s">
        <v>7128</v>
      </c>
      <c r="F579" s="3" t="s">
        <v>7129</v>
      </c>
    </row>
    <row r="580" spans="1:6" x14ac:dyDescent="0.35">
      <c r="A580" s="5">
        <f t="shared" ca="1" si="8"/>
        <v>45139</v>
      </c>
      <c r="B580" s="3" t="s">
        <v>2208</v>
      </c>
      <c r="C580" s="3" t="s">
        <v>2209</v>
      </c>
      <c r="D580" s="3" t="s">
        <v>2210</v>
      </c>
      <c r="E580" s="3" t="s">
        <v>7130</v>
      </c>
      <c r="F580" s="3" t="s">
        <v>7131</v>
      </c>
    </row>
    <row r="581" spans="1:6" x14ac:dyDescent="0.35">
      <c r="A581" s="5">
        <f t="shared" ref="A581:A644" ca="1" si="9">A580+1</f>
        <v>45140</v>
      </c>
      <c r="B581" s="3" t="s">
        <v>2211</v>
      </c>
      <c r="C581" s="3" t="s">
        <v>2212</v>
      </c>
      <c r="D581" s="3" t="s">
        <v>2213</v>
      </c>
      <c r="E581" s="3" t="s">
        <v>7132</v>
      </c>
      <c r="F581" s="3" t="s">
        <v>7133</v>
      </c>
    </row>
    <row r="582" spans="1:6" x14ac:dyDescent="0.35">
      <c r="A582" s="5">
        <f t="shared" ca="1" si="9"/>
        <v>45141</v>
      </c>
      <c r="B582" s="3" t="s">
        <v>2214</v>
      </c>
      <c r="C582" s="3" t="s">
        <v>2215</v>
      </c>
      <c r="D582" s="3" t="s">
        <v>2216</v>
      </c>
      <c r="E582" s="3" t="s">
        <v>7134</v>
      </c>
      <c r="F582" s="3" t="s">
        <v>7135</v>
      </c>
    </row>
    <row r="583" spans="1:6" x14ac:dyDescent="0.35">
      <c r="A583" s="5">
        <f t="shared" ca="1" si="9"/>
        <v>45142</v>
      </c>
      <c r="B583" s="3" t="s">
        <v>2217</v>
      </c>
      <c r="C583" s="3" t="s">
        <v>2218</v>
      </c>
      <c r="D583" s="3" t="s">
        <v>2219</v>
      </c>
      <c r="E583" s="3" t="s">
        <v>7136</v>
      </c>
      <c r="F583" s="3" t="s">
        <v>7137</v>
      </c>
    </row>
    <row r="584" spans="1:6" x14ac:dyDescent="0.35">
      <c r="A584" s="5">
        <f t="shared" ca="1" si="9"/>
        <v>45143</v>
      </c>
      <c r="B584" s="3" t="s">
        <v>2220</v>
      </c>
      <c r="C584" s="3" t="s">
        <v>2221</v>
      </c>
      <c r="D584" s="3" t="s">
        <v>2222</v>
      </c>
      <c r="E584" s="3" t="s">
        <v>7138</v>
      </c>
      <c r="F584" s="3" t="s">
        <v>7139</v>
      </c>
    </row>
    <row r="585" spans="1:6" x14ac:dyDescent="0.35">
      <c r="A585" s="5">
        <f t="shared" ca="1" si="9"/>
        <v>45144</v>
      </c>
      <c r="B585" s="3" t="s">
        <v>2223</v>
      </c>
      <c r="C585" s="3" t="s">
        <v>2224</v>
      </c>
      <c r="D585" s="3" t="s">
        <v>2225</v>
      </c>
      <c r="E585" s="3" t="s">
        <v>7140</v>
      </c>
      <c r="F585" s="3" t="s">
        <v>7141</v>
      </c>
    </row>
    <row r="586" spans="1:6" x14ac:dyDescent="0.35">
      <c r="A586" s="5">
        <f t="shared" ca="1" si="9"/>
        <v>45145</v>
      </c>
      <c r="B586" s="3" t="s">
        <v>2226</v>
      </c>
      <c r="C586" s="3" t="s">
        <v>2227</v>
      </c>
      <c r="D586" s="3" t="s">
        <v>2228</v>
      </c>
      <c r="E586" s="3" t="s">
        <v>7142</v>
      </c>
      <c r="F586" s="3" t="s">
        <v>7143</v>
      </c>
    </row>
    <row r="587" spans="1:6" x14ac:dyDescent="0.35">
      <c r="A587" s="5">
        <f t="shared" ca="1" si="9"/>
        <v>45146</v>
      </c>
      <c r="B587" s="3" t="s">
        <v>2229</v>
      </c>
      <c r="C587" s="3" t="s">
        <v>2230</v>
      </c>
      <c r="D587" s="3" t="s">
        <v>2231</v>
      </c>
      <c r="E587" s="3" t="s">
        <v>7144</v>
      </c>
      <c r="F587" s="3" t="s">
        <v>7145</v>
      </c>
    </row>
    <row r="588" spans="1:6" x14ac:dyDescent="0.35">
      <c r="A588" s="5">
        <f t="shared" ca="1" si="9"/>
        <v>45147</v>
      </c>
      <c r="B588" s="3" t="s">
        <v>2232</v>
      </c>
      <c r="C588" s="3" t="s">
        <v>2233</v>
      </c>
      <c r="D588" s="3" t="s">
        <v>2234</v>
      </c>
      <c r="E588" s="3" t="s">
        <v>7146</v>
      </c>
      <c r="F588" s="3" t="s">
        <v>7147</v>
      </c>
    </row>
    <row r="589" spans="1:6" x14ac:dyDescent="0.35">
      <c r="A589" s="5">
        <f t="shared" ca="1" si="9"/>
        <v>45148</v>
      </c>
      <c r="B589" s="3" t="s">
        <v>2235</v>
      </c>
      <c r="C589" s="3" t="s">
        <v>2236</v>
      </c>
      <c r="D589" s="3" t="s">
        <v>2237</v>
      </c>
      <c r="E589" s="3" t="s">
        <v>7148</v>
      </c>
      <c r="F589" s="3" t="s">
        <v>7149</v>
      </c>
    </row>
    <row r="590" spans="1:6" x14ac:dyDescent="0.35">
      <c r="A590" s="5">
        <f t="shared" ca="1" si="9"/>
        <v>45149</v>
      </c>
      <c r="B590" s="3" t="s">
        <v>2238</v>
      </c>
      <c r="C590" s="3" t="s">
        <v>2239</v>
      </c>
      <c r="D590" s="3" t="s">
        <v>2240</v>
      </c>
      <c r="E590" s="3" t="s">
        <v>7150</v>
      </c>
      <c r="F590" s="3" t="s">
        <v>7151</v>
      </c>
    </row>
    <row r="591" spans="1:6" x14ac:dyDescent="0.35">
      <c r="A591" s="5">
        <f t="shared" ca="1" si="9"/>
        <v>45150</v>
      </c>
      <c r="B591" s="3" t="s">
        <v>2241</v>
      </c>
      <c r="C591" s="3" t="s">
        <v>2242</v>
      </c>
      <c r="D591" s="3" t="s">
        <v>2243</v>
      </c>
      <c r="E591" s="3" t="s">
        <v>7152</v>
      </c>
      <c r="F591" s="3" t="s">
        <v>7153</v>
      </c>
    </row>
    <row r="592" spans="1:6" x14ac:dyDescent="0.35">
      <c r="A592" s="5">
        <f t="shared" ca="1" si="9"/>
        <v>45151</v>
      </c>
      <c r="B592" s="3" t="s">
        <v>2244</v>
      </c>
      <c r="C592" s="3" t="s">
        <v>2245</v>
      </c>
      <c r="D592" s="3" t="s">
        <v>2246</v>
      </c>
      <c r="E592" s="3" t="s">
        <v>7154</v>
      </c>
      <c r="F592" s="3" t="s">
        <v>7155</v>
      </c>
    </row>
    <row r="593" spans="1:6" x14ac:dyDescent="0.35">
      <c r="A593" s="5">
        <f t="shared" ca="1" si="9"/>
        <v>45152</v>
      </c>
      <c r="B593" s="3" t="s">
        <v>2247</v>
      </c>
      <c r="C593" s="3" t="s">
        <v>2248</v>
      </c>
      <c r="D593" s="3" t="s">
        <v>2249</v>
      </c>
      <c r="E593" s="3" t="s">
        <v>7156</v>
      </c>
      <c r="F593" s="3" t="s">
        <v>7157</v>
      </c>
    </row>
    <row r="594" spans="1:6" x14ac:dyDescent="0.35">
      <c r="A594" s="5">
        <f t="shared" ca="1" si="9"/>
        <v>45153</v>
      </c>
      <c r="B594" s="3" t="s">
        <v>2250</v>
      </c>
      <c r="C594" s="3" t="s">
        <v>2251</v>
      </c>
      <c r="D594" s="3" t="s">
        <v>2252</v>
      </c>
      <c r="E594" s="3" t="s">
        <v>7158</v>
      </c>
      <c r="F594" s="3" t="s">
        <v>7159</v>
      </c>
    </row>
    <row r="595" spans="1:6" x14ac:dyDescent="0.35">
      <c r="A595" s="5">
        <f t="shared" ca="1" si="9"/>
        <v>45154</v>
      </c>
      <c r="B595" s="3" t="s">
        <v>2253</v>
      </c>
      <c r="C595" s="3" t="s">
        <v>2254</v>
      </c>
      <c r="D595" s="3" t="s">
        <v>2255</v>
      </c>
      <c r="E595" s="3" t="s">
        <v>7160</v>
      </c>
      <c r="F595" s="3" t="s">
        <v>7161</v>
      </c>
    </row>
    <row r="596" spans="1:6" x14ac:dyDescent="0.35">
      <c r="A596" s="5">
        <f t="shared" ca="1" si="9"/>
        <v>45155</v>
      </c>
      <c r="B596" s="3" t="s">
        <v>2256</v>
      </c>
      <c r="C596" s="3" t="s">
        <v>2257</v>
      </c>
      <c r="D596" s="3" t="s">
        <v>2258</v>
      </c>
      <c r="E596" s="3" t="s">
        <v>7162</v>
      </c>
      <c r="F596" s="3" t="s">
        <v>7163</v>
      </c>
    </row>
    <row r="597" spans="1:6" x14ac:dyDescent="0.35">
      <c r="A597" s="5">
        <f t="shared" ca="1" si="9"/>
        <v>45156</v>
      </c>
      <c r="B597" s="3" t="s">
        <v>2259</v>
      </c>
      <c r="C597" s="3" t="s">
        <v>2260</v>
      </c>
      <c r="D597" s="3" t="s">
        <v>2261</v>
      </c>
      <c r="E597" s="3" t="s">
        <v>7164</v>
      </c>
      <c r="F597" s="3" t="s">
        <v>7165</v>
      </c>
    </row>
    <row r="598" spans="1:6" x14ac:dyDescent="0.35">
      <c r="A598" s="5">
        <f t="shared" ca="1" si="9"/>
        <v>45157</v>
      </c>
      <c r="B598" s="3" t="s">
        <v>2262</v>
      </c>
      <c r="C598" s="3" t="s">
        <v>2263</v>
      </c>
      <c r="D598" s="3" t="s">
        <v>2264</v>
      </c>
      <c r="E598" s="3" t="s">
        <v>7166</v>
      </c>
      <c r="F598" s="3" t="s">
        <v>7167</v>
      </c>
    </row>
    <row r="599" spans="1:6" x14ac:dyDescent="0.35">
      <c r="A599" s="5">
        <f t="shared" ca="1" si="9"/>
        <v>45158</v>
      </c>
      <c r="B599" s="3" t="s">
        <v>2265</v>
      </c>
      <c r="C599" s="3" t="s">
        <v>2266</v>
      </c>
      <c r="D599" s="3" t="s">
        <v>2267</v>
      </c>
      <c r="E599" s="3" t="s">
        <v>7168</v>
      </c>
      <c r="F599" s="3" t="s">
        <v>7169</v>
      </c>
    </row>
    <row r="600" spans="1:6" x14ac:dyDescent="0.35">
      <c r="A600" s="5">
        <f t="shared" ca="1" si="9"/>
        <v>45159</v>
      </c>
      <c r="B600" s="3" t="s">
        <v>2268</v>
      </c>
      <c r="C600" s="3" t="s">
        <v>2269</v>
      </c>
      <c r="D600" s="3" t="s">
        <v>2270</v>
      </c>
      <c r="E600" s="3" t="s">
        <v>7170</v>
      </c>
      <c r="F600" s="3" t="s">
        <v>7171</v>
      </c>
    </row>
    <row r="601" spans="1:6" x14ac:dyDescent="0.35">
      <c r="A601" s="5">
        <f t="shared" ca="1" si="9"/>
        <v>45160</v>
      </c>
      <c r="B601" s="3" t="s">
        <v>2271</v>
      </c>
      <c r="C601" s="3" t="s">
        <v>2272</v>
      </c>
      <c r="D601" s="3" t="s">
        <v>2273</v>
      </c>
      <c r="E601" s="3" t="s">
        <v>7172</v>
      </c>
      <c r="F601" s="3" t="s">
        <v>7173</v>
      </c>
    </row>
    <row r="602" spans="1:6" x14ac:dyDescent="0.35">
      <c r="A602" s="5">
        <f t="shared" ca="1" si="9"/>
        <v>45161</v>
      </c>
      <c r="B602" s="3" t="s">
        <v>2274</v>
      </c>
      <c r="C602" s="3" t="s">
        <v>2275</v>
      </c>
      <c r="D602" s="3" t="s">
        <v>2276</v>
      </c>
      <c r="E602" s="3" t="s">
        <v>7174</v>
      </c>
      <c r="F602" s="3" t="s">
        <v>7175</v>
      </c>
    </row>
    <row r="603" spans="1:6" x14ac:dyDescent="0.35">
      <c r="A603" s="5">
        <f t="shared" ca="1" si="9"/>
        <v>45162</v>
      </c>
      <c r="B603" s="3" t="s">
        <v>2277</v>
      </c>
      <c r="C603" s="3" t="s">
        <v>2278</v>
      </c>
      <c r="D603" s="3" t="s">
        <v>2279</v>
      </c>
      <c r="E603" s="3" t="s">
        <v>7176</v>
      </c>
      <c r="F603" s="3" t="s">
        <v>7177</v>
      </c>
    </row>
    <row r="604" spans="1:6" x14ac:dyDescent="0.35">
      <c r="A604" s="5">
        <f t="shared" ca="1" si="9"/>
        <v>45163</v>
      </c>
      <c r="B604" s="3" t="s">
        <v>2280</v>
      </c>
      <c r="C604" s="3" t="s">
        <v>2281</v>
      </c>
      <c r="D604" s="3" t="s">
        <v>2282</v>
      </c>
      <c r="E604" s="3" t="s">
        <v>7178</v>
      </c>
      <c r="F604" s="3" t="s">
        <v>7179</v>
      </c>
    </row>
    <row r="605" spans="1:6" x14ac:dyDescent="0.35">
      <c r="A605" s="5">
        <f t="shared" ca="1" si="9"/>
        <v>45164</v>
      </c>
      <c r="B605" s="3" t="s">
        <v>2283</v>
      </c>
      <c r="C605" s="3" t="s">
        <v>2284</v>
      </c>
      <c r="D605" s="3" t="s">
        <v>2285</v>
      </c>
      <c r="E605" s="3" t="s">
        <v>7180</v>
      </c>
      <c r="F605" s="3" t="s">
        <v>7181</v>
      </c>
    </row>
    <row r="606" spans="1:6" x14ac:dyDescent="0.35">
      <c r="A606" s="5">
        <f t="shared" ca="1" si="9"/>
        <v>45165</v>
      </c>
      <c r="B606" s="3" t="s">
        <v>2286</v>
      </c>
      <c r="C606" s="3" t="s">
        <v>2287</v>
      </c>
      <c r="D606" s="3" t="s">
        <v>2288</v>
      </c>
      <c r="E606" s="3" t="s">
        <v>7182</v>
      </c>
      <c r="F606" s="3" t="s">
        <v>7183</v>
      </c>
    </row>
    <row r="607" spans="1:6" x14ac:dyDescent="0.35">
      <c r="A607" s="5">
        <f t="shared" ca="1" si="9"/>
        <v>45166</v>
      </c>
      <c r="B607" s="3" t="s">
        <v>2289</v>
      </c>
      <c r="C607" s="3" t="s">
        <v>2290</v>
      </c>
      <c r="D607" s="3" t="s">
        <v>2291</v>
      </c>
      <c r="E607" s="3" t="s">
        <v>7184</v>
      </c>
      <c r="F607" s="3" t="s">
        <v>7185</v>
      </c>
    </row>
    <row r="608" spans="1:6" x14ac:dyDescent="0.35">
      <c r="A608" s="5">
        <f t="shared" ca="1" si="9"/>
        <v>45167</v>
      </c>
      <c r="B608" s="3" t="s">
        <v>2292</v>
      </c>
      <c r="C608" s="3" t="s">
        <v>2293</v>
      </c>
      <c r="D608" s="3" t="s">
        <v>2294</v>
      </c>
      <c r="E608" s="3" t="s">
        <v>7186</v>
      </c>
      <c r="F608" s="3" t="s">
        <v>7187</v>
      </c>
    </row>
    <row r="609" spans="1:6" x14ac:dyDescent="0.35">
      <c r="A609" s="5">
        <f t="shared" ca="1" si="9"/>
        <v>45168</v>
      </c>
      <c r="B609" s="3" t="s">
        <v>2295</v>
      </c>
      <c r="C609" s="3" t="s">
        <v>2296</v>
      </c>
      <c r="D609" s="3" t="s">
        <v>2297</v>
      </c>
      <c r="E609" s="3" t="s">
        <v>7188</v>
      </c>
      <c r="F609" s="3" t="s">
        <v>7189</v>
      </c>
    </row>
    <row r="610" spans="1:6" x14ac:dyDescent="0.35">
      <c r="A610" s="5">
        <f t="shared" ca="1" si="9"/>
        <v>45169</v>
      </c>
      <c r="B610" s="3" t="s">
        <v>2298</v>
      </c>
      <c r="C610" s="3" t="s">
        <v>2299</v>
      </c>
      <c r="D610" s="3" t="s">
        <v>2300</v>
      </c>
      <c r="E610" s="3" t="s">
        <v>7190</v>
      </c>
      <c r="F610" s="3" t="s">
        <v>7191</v>
      </c>
    </row>
    <row r="611" spans="1:6" x14ac:dyDescent="0.35">
      <c r="A611" s="5">
        <f t="shared" ca="1" si="9"/>
        <v>45170</v>
      </c>
      <c r="B611" s="3" t="s">
        <v>2301</v>
      </c>
      <c r="C611" s="3" t="s">
        <v>2302</v>
      </c>
      <c r="D611" s="3" t="s">
        <v>2303</v>
      </c>
      <c r="E611" s="3" t="s">
        <v>7192</v>
      </c>
      <c r="F611" s="3" t="s">
        <v>7193</v>
      </c>
    </row>
    <row r="612" spans="1:6" x14ac:dyDescent="0.35">
      <c r="A612" s="5">
        <f t="shared" ca="1" si="9"/>
        <v>45171</v>
      </c>
      <c r="B612" s="3" t="s">
        <v>2304</v>
      </c>
      <c r="C612" s="3" t="s">
        <v>2305</v>
      </c>
      <c r="D612" s="3" t="s">
        <v>2306</v>
      </c>
      <c r="E612" s="3" t="s">
        <v>7194</v>
      </c>
      <c r="F612" s="3" t="s">
        <v>7195</v>
      </c>
    </row>
    <row r="613" spans="1:6" x14ac:dyDescent="0.35">
      <c r="A613" s="5">
        <f t="shared" ca="1" si="9"/>
        <v>45172</v>
      </c>
      <c r="B613" s="3" t="s">
        <v>2307</v>
      </c>
      <c r="C613" s="3" t="s">
        <v>2308</v>
      </c>
      <c r="D613" s="3" t="s">
        <v>2309</v>
      </c>
      <c r="E613" s="3" t="s">
        <v>7196</v>
      </c>
      <c r="F613" s="3" t="s">
        <v>7197</v>
      </c>
    </row>
    <row r="614" spans="1:6" x14ac:dyDescent="0.35">
      <c r="A614" s="5">
        <f t="shared" ca="1" si="9"/>
        <v>45173</v>
      </c>
      <c r="B614" s="3" t="s">
        <v>2310</v>
      </c>
      <c r="C614" s="3" t="s">
        <v>2311</v>
      </c>
      <c r="D614" s="3" t="s">
        <v>2312</v>
      </c>
      <c r="E614" s="3" t="s">
        <v>7198</v>
      </c>
      <c r="F614" s="3" t="s">
        <v>7199</v>
      </c>
    </row>
    <row r="615" spans="1:6" x14ac:dyDescent="0.35">
      <c r="A615" s="5">
        <f t="shared" ca="1" si="9"/>
        <v>45174</v>
      </c>
      <c r="B615" s="3" t="s">
        <v>2313</v>
      </c>
      <c r="C615" s="3" t="s">
        <v>2314</v>
      </c>
      <c r="D615" s="3" t="s">
        <v>2315</v>
      </c>
      <c r="E615" s="3" t="s">
        <v>7200</v>
      </c>
      <c r="F615" s="3" t="s">
        <v>7201</v>
      </c>
    </row>
    <row r="616" spans="1:6" x14ac:dyDescent="0.35">
      <c r="A616" s="5">
        <f t="shared" ca="1" si="9"/>
        <v>45175</v>
      </c>
      <c r="B616" s="3" t="s">
        <v>2316</v>
      </c>
      <c r="C616" s="3" t="s">
        <v>2317</v>
      </c>
      <c r="D616" s="3" t="s">
        <v>2318</v>
      </c>
      <c r="E616" s="3" t="s">
        <v>7202</v>
      </c>
      <c r="F616" s="3" t="s">
        <v>7203</v>
      </c>
    </row>
    <row r="617" spans="1:6" x14ac:dyDescent="0.35">
      <c r="A617" s="5">
        <f t="shared" ca="1" si="9"/>
        <v>45176</v>
      </c>
      <c r="B617" s="3" t="s">
        <v>2319</v>
      </c>
      <c r="C617" s="3" t="s">
        <v>2320</v>
      </c>
      <c r="D617" s="3" t="s">
        <v>2321</v>
      </c>
      <c r="E617" s="3" t="s">
        <v>7204</v>
      </c>
      <c r="F617" s="3" t="s">
        <v>7205</v>
      </c>
    </row>
    <row r="618" spans="1:6" x14ac:dyDescent="0.35">
      <c r="A618" s="5">
        <f t="shared" ca="1" si="9"/>
        <v>45177</v>
      </c>
      <c r="B618" s="3" t="s">
        <v>2322</v>
      </c>
      <c r="C618" s="3" t="s">
        <v>2323</v>
      </c>
      <c r="D618" s="3" t="s">
        <v>2324</v>
      </c>
      <c r="E618" s="3" t="s">
        <v>7206</v>
      </c>
      <c r="F618" s="3" t="s">
        <v>7207</v>
      </c>
    </row>
    <row r="619" spans="1:6" x14ac:dyDescent="0.35">
      <c r="A619" s="5">
        <f t="shared" ca="1" si="9"/>
        <v>45178</v>
      </c>
      <c r="B619" s="3" t="s">
        <v>2325</v>
      </c>
      <c r="C619" s="3" t="s">
        <v>2326</v>
      </c>
      <c r="D619" s="3" t="s">
        <v>2327</v>
      </c>
      <c r="E619" s="3" t="s">
        <v>7208</v>
      </c>
      <c r="F619" s="3" t="s">
        <v>7209</v>
      </c>
    </row>
    <row r="620" spans="1:6" x14ac:dyDescent="0.35">
      <c r="A620" s="5">
        <f t="shared" ca="1" si="9"/>
        <v>45179</v>
      </c>
      <c r="B620" s="3" t="s">
        <v>2328</v>
      </c>
      <c r="C620" s="3" t="s">
        <v>2329</v>
      </c>
      <c r="D620" s="3" t="s">
        <v>2330</v>
      </c>
      <c r="E620" s="3" t="s">
        <v>7210</v>
      </c>
      <c r="F620" s="3" t="s">
        <v>7211</v>
      </c>
    </row>
    <row r="621" spans="1:6" x14ac:dyDescent="0.35">
      <c r="A621" s="5">
        <f t="shared" ca="1" si="9"/>
        <v>45180</v>
      </c>
      <c r="B621" s="3" t="s">
        <v>2331</v>
      </c>
      <c r="C621" s="3" t="s">
        <v>2332</v>
      </c>
      <c r="D621" s="3" t="s">
        <v>2333</v>
      </c>
      <c r="E621" s="3" t="s">
        <v>7212</v>
      </c>
      <c r="F621" s="3" t="s">
        <v>7213</v>
      </c>
    </row>
    <row r="622" spans="1:6" x14ac:dyDescent="0.35">
      <c r="A622" s="5">
        <f t="shared" ca="1" si="9"/>
        <v>45181</v>
      </c>
      <c r="B622" s="3" t="s">
        <v>2334</v>
      </c>
      <c r="C622" s="3" t="s">
        <v>2335</v>
      </c>
      <c r="D622" s="3" t="s">
        <v>2336</v>
      </c>
      <c r="E622" s="3" t="s">
        <v>7214</v>
      </c>
      <c r="F622" s="3" t="s">
        <v>7215</v>
      </c>
    </row>
    <row r="623" spans="1:6" x14ac:dyDescent="0.35">
      <c r="A623" s="5">
        <f t="shared" ca="1" si="9"/>
        <v>45182</v>
      </c>
      <c r="B623" s="3" t="s">
        <v>2337</v>
      </c>
      <c r="C623" s="3" t="s">
        <v>2338</v>
      </c>
      <c r="D623" s="3" t="s">
        <v>2339</v>
      </c>
      <c r="E623" s="3" t="s">
        <v>7216</v>
      </c>
      <c r="F623" s="3" t="s">
        <v>7217</v>
      </c>
    </row>
    <row r="624" spans="1:6" x14ac:dyDescent="0.35">
      <c r="A624" s="5">
        <f t="shared" ca="1" si="9"/>
        <v>45183</v>
      </c>
      <c r="B624" s="3" t="s">
        <v>2340</v>
      </c>
      <c r="C624" s="3" t="s">
        <v>2341</v>
      </c>
      <c r="D624" s="3" t="s">
        <v>2342</v>
      </c>
      <c r="E624" s="3" t="s">
        <v>7218</v>
      </c>
      <c r="F624" s="3" t="s">
        <v>7219</v>
      </c>
    </row>
    <row r="625" spans="1:6" x14ac:dyDescent="0.35">
      <c r="A625" s="5">
        <f t="shared" ca="1" si="9"/>
        <v>45184</v>
      </c>
      <c r="B625" s="3" t="s">
        <v>2343</v>
      </c>
      <c r="C625" s="3" t="s">
        <v>2344</v>
      </c>
      <c r="D625" s="3" t="s">
        <v>2345</v>
      </c>
      <c r="E625" s="3" t="s">
        <v>7220</v>
      </c>
      <c r="F625" s="3" t="s">
        <v>7221</v>
      </c>
    </row>
    <row r="626" spans="1:6" x14ac:dyDescent="0.35">
      <c r="A626" s="5">
        <f t="shared" ca="1" si="9"/>
        <v>45185</v>
      </c>
      <c r="B626" s="3" t="s">
        <v>2346</v>
      </c>
      <c r="C626" s="3" t="s">
        <v>2347</v>
      </c>
      <c r="D626" s="3" t="s">
        <v>2348</v>
      </c>
      <c r="E626" s="3" t="s">
        <v>7222</v>
      </c>
      <c r="F626" s="3" t="s">
        <v>7223</v>
      </c>
    </row>
    <row r="627" spans="1:6" x14ac:dyDescent="0.35">
      <c r="A627" s="5">
        <f t="shared" ca="1" si="9"/>
        <v>45186</v>
      </c>
      <c r="B627" s="3" t="s">
        <v>2349</v>
      </c>
      <c r="C627" s="3" t="s">
        <v>2350</v>
      </c>
      <c r="D627" s="3" t="s">
        <v>2351</v>
      </c>
      <c r="E627" s="3" t="s">
        <v>7224</v>
      </c>
      <c r="F627" s="3" t="s">
        <v>7225</v>
      </c>
    </row>
    <row r="628" spans="1:6" x14ac:dyDescent="0.35">
      <c r="A628" s="5">
        <f t="shared" ca="1" si="9"/>
        <v>45187</v>
      </c>
      <c r="B628" s="3" t="s">
        <v>2352</v>
      </c>
      <c r="C628" s="3" t="s">
        <v>2353</v>
      </c>
      <c r="D628" s="3" t="s">
        <v>2354</v>
      </c>
      <c r="E628" s="3" t="s">
        <v>7226</v>
      </c>
      <c r="F628" s="3" t="s">
        <v>7227</v>
      </c>
    </row>
    <row r="629" spans="1:6" x14ac:dyDescent="0.35">
      <c r="A629" s="5">
        <f t="shared" ca="1" si="9"/>
        <v>45188</v>
      </c>
      <c r="B629" s="3" t="s">
        <v>2355</v>
      </c>
      <c r="C629" s="3" t="s">
        <v>2356</v>
      </c>
      <c r="D629" s="3" t="s">
        <v>2357</v>
      </c>
      <c r="E629" s="3" t="s">
        <v>7228</v>
      </c>
      <c r="F629" s="3" t="s">
        <v>7229</v>
      </c>
    </row>
    <row r="630" spans="1:6" x14ac:dyDescent="0.35">
      <c r="A630" s="5">
        <f t="shared" ca="1" si="9"/>
        <v>45189</v>
      </c>
      <c r="B630" s="3" t="s">
        <v>2358</v>
      </c>
      <c r="C630" s="3" t="s">
        <v>2359</v>
      </c>
      <c r="D630" s="3" t="s">
        <v>2360</v>
      </c>
      <c r="E630" s="3" t="s">
        <v>7230</v>
      </c>
      <c r="F630" s="3" t="s">
        <v>7231</v>
      </c>
    </row>
    <row r="631" spans="1:6" x14ac:dyDescent="0.35">
      <c r="A631" s="5">
        <f t="shared" ca="1" si="9"/>
        <v>45190</v>
      </c>
      <c r="B631" s="3" t="s">
        <v>2361</v>
      </c>
      <c r="C631" s="3" t="s">
        <v>2362</v>
      </c>
      <c r="D631" s="3" t="s">
        <v>2363</v>
      </c>
      <c r="E631" s="3" t="s">
        <v>7232</v>
      </c>
      <c r="F631" s="3" t="s">
        <v>7233</v>
      </c>
    </row>
    <row r="632" spans="1:6" x14ac:dyDescent="0.35">
      <c r="A632" s="5">
        <f t="shared" ca="1" si="9"/>
        <v>45191</v>
      </c>
      <c r="B632" s="3" t="s">
        <v>2364</v>
      </c>
      <c r="C632" s="3" t="s">
        <v>2365</v>
      </c>
      <c r="D632" s="3" t="s">
        <v>2366</v>
      </c>
      <c r="E632" s="3" t="s">
        <v>7234</v>
      </c>
      <c r="F632" s="3" t="s">
        <v>7235</v>
      </c>
    </row>
    <row r="633" spans="1:6" x14ac:dyDescent="0.35">
      <c r="A633" s="5">
        <f t="shared" ca="1" si="9"/>
        <v>45192</v>
      </c>
      <c r="B633" s="3" t="s">
        <v>2367</v>
      </c>
      <c r="C633" s="3" t="s">
        <v>2368</v>
      </c>
      <c r="D633" s="3" t="s">
        <v>2369</v>
      </c>
      <c r="E633" s="3" t="s">
        <v>7236</v>
      </c>
      <c r="F633" s="3" t="s">
        <v>7237</v>
      </c>
    </row>
    <row r="634" spans="1:6" x14ac:dyDescent="0.35">
      <c r="A634" s="5">
        <f t="shared" ca="1" si="9"/>
        <v>45193</v>
      </c>
      <c r="B634" s="3" t="s">
        <v>2370</v>
      </c>
      <c r="C634" s="3" t="s">
        <v>2371</v>
      </c>
      <c r="D634" s="3" t="s">
        <v>2372</v>
      </c>
      <c r="E634" s="3" t="s">
        <v>7238</v>
      </c>
      <c r="F634" s="3" t="s">
        <v>7239</v>
      </c>
    </row>
    <row r="635" spans="1:6" x14ac:dyDescent="0.35">
      <c r="A635" s="5">
        <f t="shared" ca="1" si="9"/>
        <v>45194</v>
      </c>
      <c r="B635" s="3" t="s">
        <v>2373</v>
      </c>
      <c r="C635" s="3" t="s">
        <v>2374</v>
      </c>
      <c r="D635" s="3" t="s">
        <v>2375</v>
      </c>
      <c r="E635" s="3" t="s">
        <v>7240</v>
      </c>
      <c r="F635" s="3" t="s">
        <v>7241</v>
      </c>
    </row>
    <row r="636" spans="1:6" x14ac:dyDescent="0.35">
      <c r="A636" s="5">
        <f t="shared" ca="1" si="9"/>
        <v>45195</v>
      </c>
      <c r="B636" s="3" t="s">
        <v>2376</v>
      </c>
      <c r="C636" s="3" t="s">
        <v>2377</v>
      </c>
      <c r="D636" s="3" t="s">
        <v>2378</v>
      </c>
      <c r="E636" s="3" t="s">
        <v>7242</v>
      </c>
      <c r="F636" s="3" t="s">
        <v>7243</v>
      </c>
    </row>
    <row r="637" spans="1:6" x14ac:dyDescent="0.35">
      <c r="A637" s="5">
        <f t="shared" ca="1" si="9"/>
        <v>45196</v>
      </c>
      <c r="B637" s="3" t="s">
        <v>2379</v>
      </c>
      <c r="C637" s="3" t="s">
        <v>2380</v>
      </c>
      <c r="D637" s="3" t="s">
        <v>2381</v>
      </c>
      <c r="E637" s="3" t="s">
        <v>7244</v>
      </c>
      <c r="F637" s="3" t="s">
        <v>7245</v>
      </c>
    </row>
    <row r="638" spans="1:6" x14ac:dyDescent="0.35">
      <c r="A638" s="5">
        <f t="shared" ca="1" si="9"/>
        <v>45197</v>
      </c>
      <c r="B638" s="3" t="s">
        <v>2382</v>
      </c>
      <c r="C638" s="3" t="s">
        <v>2383</v>
      </c>
      <c r="D638" s="3" t="s">
        <v>2384</v>
      </c>
      <c r="E638" s="3" t="s">
        <v>7246</v>
      </c>
      <c r="F638" s="3" t="s">
        <v>7247</v>
      </c>
    </row>
    <row r="639" spans="1:6" x14ac:dyDescent="0.35">
      <c r="A639" s="5">
        <f t="shared" ca="1" si="9"/>
        <v>45198</v>
      </c>
      <c r="B639" s="3" t="s">
        <v>2385</v>
      </c>
      <c r="C639" s="3" t="s">
        <v>2386</v>
      </c>
      <c r="D639" s="3" t="s">
        <v>2387</v>
      </c>
      <c r="E639" s="3" t="s">
        <v>7248</v>
      </c>
      <c r="F639" s="3" t="s">
        <v>7249</v>
      </c>
    </row>
    <row r="640" spans="1:6" x14ac:dyDescent="0.35">
      <c r="A640" s="5">
        <f t="shared" ca="1" si="9"/>
        <v>45199</v>
      </c>
      <c r="B640" s="3" t="s">
        <v>2388</v>
      </c>
      <c r="C640" s="3" t="s">
        <v>2389</v>
      </c>
      <c r="D640" s="3" t="s">
        <v>2390</v>
      </c>
      <c r="E640" s="3" t="s">
        <v>7250</v>
      </c>
      <c r="F640" s="3" t="s">
        <v>7251</v>
      </c>
    </row>
    <row r="641" spans="1:6" x14ac:dyDescent="0.35">
      <c r="A641" s="5">
        <f t="shared" ca="1" si="9"/>
        <v>45200</v>
      </c>
      <c r="B641" s="3" t="s">
        <v>2391</v>
      </c>
      <c r="C641" s="3" t="s">
        <v>2392</v>
      </c>
      <c r="D641" s="3" t="s">
        <v>2393</v>
      </c>
      <c r="E641" s="3" t="s">
        <v>7252</v>
      </c>
      <c r="F641" s="3" t="s">
        <v>7253</v>
      </c>
    </row>
    <row r="642" spans="1:6" x14ac:dyDescent="0.35">
      <c r="A642" s="5">
        <f t="shared" ca="1" si="9"/>
        <v>45201</v>
      </c>
      <c r="B642" s="3" t="s">
        <v>2394</v>
      </c>
      <c r="C642" s="3" t="s">
        <v>2395</v>
      </c>
      <c r="D642" s="3" t="s">
        <v>2396</v>
      </c>
      <c r="E642" s="3" t="s">
        <v>7254</v>
      </c>
      <c r="F642" s="3" t="s">
        <v>7255</v>
      </c>
    </row>
    <row r="643" spans="1:6" x14ac:dyDescent="0.35">
      <c r="A643" s="5">
        <f t="shared" ca="1" si="9"/>
        <v>45202</v>
      </c>
      <c r="B643" s="3" t="s">
        <v>2397</v>
      </c>
      <c r="C643" s="3" t="s">
        <v>2398</v>
      </c>
      <c r="D643" s="3" t="s">
        <v>2399</v>
      </c>
      <c r="E643" s="3" t="s">
        <v>7256</v>
      </c>
      <c r="F643" s="3" t="s">
        <v>7257</v>
      </c>
    </row>
    <row r="644" spans="1:6" x14ac:dyDescent="0.35">
      <c r="A644" s="5">
        <f t="shared" ca="1" si="9"/>
        <v>45203</v>
      </c>
      <c r="B644" s="3" t="s">
        <v>2400</v>
      </c>
      <c r="C644" s="3" t="s">
        <v>2401</v>
      </c>
      <c r="D644" s="3" t="s">
        <v>2402</v>
      </c>
      <c r="E644" s="3" t="s">
        <v>7258</v>
      </c>
      <c r="F644" s="3" t="s">
        <v>7259</v>
      </c>
    </row>
    <row r="645" spans="1:6" x14ac:dyDescent="0.35">
      <c r="A645" s="5">
        <f t="shared" ref="A645:A708" ca="1" si="10">A644+1</f>
        <v>45204</v>
      </c>
      <c r="B645" s="3" t="s">
        <v>2403</v>
      </c>
      <c r="C645" s="3" t="s">
        <v>2404</v>
      </c>
      <c r="D645" s="3" t="s">
        <v>2405</v>
      </c>
      <c r="E645" s="3" t="s">
        <v>7260</v>
      </c>
      <c r="F645" s="3" t="s">
        <v>7261</v>
      </c>
    </row>
    <row r="646" spans="1:6" x14ac:dyDescent="0.35">
      <c r="A646" s="5">
        <f t="shared" ca="1" si="10"/>
        <v>45205</v>
      </c>
      <c r="B646" s="3" t="s">
        <v>2406</v>
      </c>
      <c r="C646" s="3" t="s">
        <v>2407</v>
      </c>
      <c r="D646" s="3" t="s">
        <v>2408</v>
      </c>
      <c r="E646" s="3" t="s">
        <v>7262</v>
      </c>
      <c r="F646" s="3" t="s">
        <v>7263</v>
      </c>
    </row>
    <row r="647" spans="1:6" x14ac:dyDescent="0.35">
      <c r="A647" s="5">
        <f t="shared" ca="1" si="10"/>
        <v>45206</v>
      </c>
      <c r="B647" s="3" t="s">
        <v>2409</v>
      </c>
      <c r="C647" s="3" t="s">
        <v>2410</v>
      </c>
      <c r="D647" s="3" t="s">
        <v>2411</v>
      </c>
      <c r="E647" s="3" t="s">
        <v>7264</v>
      </c>
      <c r="F647" s="3" t="s">
        <v>7265</v>
      </c>
    </row>
    <row r="648" spans="1:6" x14ac:dyDescent="0.35">
      <c r="A648" s="5">
        <f t="shared" ca="1" si="10"/>
        <v>45207</v>
      </c>
      <c r="B648" s="3" t="s">
        <v>2412</v>
      </c>
      <c r="C648" s="3" t="s">
        <v>2413</v>
      </c>
      <c r="D648" s="3" t="s">
        <v>2414</v>
      </c>
      <c r="E648" s="3" t="s">
        <v>7266</v>
      </c>
      <c r="F648" s="3" t="s">
        <v>7267</v>
      </c>
    </row>
    <row r="649" spans="1:6" x14ac:dyDescent="0.35">
      <c r="A649" s="5">
        <f t="shared" ca="1" si="10"/>
        <v>45208</v>
      </c>
      <c r="B649" s="3" t="s">
        <v>2415</v>
      </c>
      <c r="C649" s="3" t="s">
        <v>2416</v>
      </c>
      <c r="D649" s="3" t="s">
        <v>2417</v>
      </c>
      <c r="E649" s="3" t="s">
        <v>7268</v>
      </c>
      <c r="F649" s="3" t="s">
        <v>7269</v>
      </c>
    </row>
    <row r="650" spans="1:6" x14ac:dyDescent="0.35">
      <c r="A650" s="5">
        <f t="shared" ca="1" si="10"/>
        <v>45209</v>
      </c>
      <c r="B650" s="3" t="s">
        <v>2418</v>
      </c>
      <c r="C650" s="3" t="s">
        <v>2419</v>
      </c>
      <c r="D650" s="3" t="s">
        <v>2420</v>
      </c>
      <c r="E650" s="3" t="s">
        <v>7270</v>
      </c>
      <c r="F650" s="3" t="s">
        <v>7271</v>
      </c>
    </row>
    <row r="651" spans="1:6" x14ac:dyDescent="0.35">
      <c r="A651" s="5">
        <f t="shared" ca="1" si="10"/>
        <v>45210</v>
      </c>
      <c r="B651" s="3" t="s">
        <v>2421</v>
      </c>
      <c r="C651" s="3" t="s">
        <v>2422</v>
      </c>
      <c r="D651" s="3" t="s">
        <v>2423</v>
      </c>
      <c r="E651" s="3" t="s">
        <v>7272</v>
      </c>
      <c r="F651" s="3" t="s">
        <v>7273</v>
      </c>
    </row>
    <row r="652" spans="1:6" x14ac:dyDescent="0.35">
      <c r="A652" s="5">
        <f t="shared" ca="1" si="10"/>
        <v>45211</v>
      </c>
      <c r="B652" s="3" t="s">
        <v>2424</v>
      </c>
      <c r="C652" s="3" t="s">
        <v>2425</v>
      </c>
      <c r="D652" s="3" t="s">
        <v>2426</v>
      </c>
      <c r="E652" s="3" t="s">
        <v>7274</v>
      </c>
      <c r="F652" s="3" t="s">
        <v>7275</v>
      </c>
    </row>
    <row r="653" spans="1:6" x14ac:dyDescent="0.35">
      <c r="A653" s="5">
        <f t="shared" ca="1" si="10"/>
        <v>45212</v>
      </c>
      <c r="B653" s="3" t="s">
        <v>2427</v>
      </c>
      <c r="C653" s="3" t="s">
        <v>2428</v>
      </c>
      <c r="D653" s="3" t="s">
        <v>2429</v>
      </c>
      <c r="E653" s="3" t="s">
        <v>7276</v>
      </c>
      <c r="F653" s="3" t="s">
        <v>7277</v>
      </c>
    </row>
    <row r="654" spans="1:6" x14ac:dyDescent="0.35">
      <c r="A654" s="5">
        <f t="shared" ca="1" si="10"/>
        <v>45213</v>
      </c>
      <c r="B654" s="3" t="s">
        <v>2430</v>
      </c>
      <c r="C654" s="3" t="s">
        <v>2431</v>
      </c>
      <c r="D654" s="3" t="s">
        <v>2432</v>
      </c>
      <c r="E654" s="3" t="s">
        <v>7278</v>
      </c>
      <c r="F654" s="3" t="s">
        <v>7279</v>
      </c>
    </row>
    <row r="655" spans="1:6" x14ac:dyDescent="0.35">
      <c r="A655" s="5">
        <f t="shared" ca="1" si="10"/>
        <v>45214</v>
      </c>
      <c r="B655" s="3" t="s">
        <v>2433</v>
      </c>
      <c r="C655" s="3" t="s">
        <v>2434</v>
      </c>
      <c r="D655" s="3" t="s">
        <v>2435</v>
      </c>
      <c r="E655" s="3" t="s">
        <v>7280</v>
      </c>
      <c r="F655" s="3" t="s">
        <v>7281</v>
      </c>
    </row>
    <row r="656" spans="1:6" x14ac:dyDescent="0.35">
      <c r="A656" s="5">
        <f t="shared" ca="1" si="10"/>
        <v>45215</v>
      </c>
      <c r="B656" s="3" t="s">
        <v>2436</v>
      </c>
      <c r="C656" s="3" t="s">
        <v>2437</v>
      </c>
      <c r="D656" s="3" t="s">
        <v>2438</v>
      </c>
      <c r="E656" s="3" t="s">
        <v>7282</v>
      </c>
      <c r="F656" s="3" t="s">
        <v>7283</v>
      </c>
    </row>
    <row r="657" spans="1:6" x14ac:dyDescent="0.35">
      <c r="A657" s="5">
        <f t="shared" ca="1" si="10"/>
        <v>45216</v>
      </c>
      <c r="B657" s="3" t="s">
        <v>2439</v>
      </c>
      <c r="C657" s="3" t="s">
        <v>2440</v>
      </c>
      <c r="D657" s="3" t="s">
        <v>2441</v>
      </c>
      <c r="E657" s="3" t="s">
        <v>7284</v>
      </c>
      <c r="F657" s="3" t="s">
        <v>7285</v>
      </c>
    </row>
    <row r="658" spans="1:6" x14ac:dyDescent="0.35">
      <c r="A658" s="5">
        <f t="shared" ca="1" si="10"/>
        <v>45217</v>
      </c>
      <c r="B658" s="3" t="s">
        <v>2442</v>
      </c>
      <c r="C658" s="3" t="s">
        <v>2443</v>
      </c>
      <c r="D658" s="3" t="s">
        <v>2444</v>
      </c>
      <c r="E658" s="3" t="s">
        <v>7286</v>
      </c>
      <c r="F658" s="3" t="s">
        <v>7287</v>
      </c>
    </row>
    <row r="659" spans="1:6" x14ac:dyDescent="0.35">
      <c r="A659" s="5">
        <f t="shared" ca="1" si="10"/>
        <v>45218</v>
      </c>
      <c r="B659" s="3" t="s">
        <v>2445</v>
      </c>
      <c r="C659" s="3" t="s">
        <v>2446</v>
      </c>
      <c r="D659" s="3" t="s">
        <v>2447</v>
      </c>
      <c r="E659" s="3" t="s">
        <v>7288</v>
      </c>
      <c r="F659" s="3" t="s">
        <v>7289</v>
      </c>
    </row>
    <row r="660" spans="1:6" x14ac:dyDescent="0.35">
      <c r="A660" s="5">
        <f t="shared" ca="1" si="10"/>
        <v>45219</v>
      </c>
      <c r="B660" s="3" t="s">
        <v>2448</v>
      </c>
      <c r="C660" s="3" t="s">
        <v>2449</v>
      </c>
      <c r="D660" s="3" t="s">
        <v>2450</v>
      </c>
      <c r="E660" s="3" t="s">
        <v>7290</v>
      </c>
      <c r="F660" s="3" t="s">
        <v>7291</v>
      </c>
    </row>
    <row r="661" spans="1:6" x14ac:dyDescent="0.35">
      <c r="A661" s="5">
        <f t="shared" ca="1" si="10"/>
        <v>45220</v>
      </c>
      <c r="B661" s="3" t="s">
        <v>2451</v>
      </c>
      <c r="C661" s="3" t="s">
        <v>2452</v>
      </c>
      <c r="D661" s="3" t="s">
        <v>2453</v>
      </c>
      <c r="E661" s="3" t="s">
        <v>7292</v>
      </c>
      <c r="F661" s="3" t="s">
        <v>7293</v>
      </c>
    </row>
    <row r="662" spans="1:6" x14ac:dyDescent="0.35">
      <c r="A662" s="5">
        <f t="shared" ca="1" si="10"/>
        <v>45221</v>
      </c>
      <c r="B662" s="3" t="s">
        <v>2454</v>
      </c>
      <c r="C662" s="3" t="s">
        <v>2455</v>
      </c>
      <c r="D662" s="3" t="s">
        <v>2456</v>
      </c>
      <c r="E662" s="3" t="s">
        <v>7294</v>
      </c>
      <c r="F662" s="3" t="s">
        <v>7295</v>
      </c>
    </row>
    <row r="663" spans="1:6" x14ac:dyDescent="0.35">
      <c r="A663" s="5">
        <f t="shared" ca="1" si="10"/>
        <v>45222</v>
      </c>
      <c r="B663" s="3" t="s">
        <v>2457</v>
      </c>
      <c r="C663" s="3" t="s">
        <v>2458</v>
      </c>
      <c r="D663" s="3" t="s">
        <v>2459</v>
      </c>
      <c r="E663" s="3" t="s">
        <v>7296</v>
      </c>
      <c r="F663" s="3" t="s">
        <v>7297</v>
      </c>
    </row>
    <row r="664" spans="1:6" x14ac:dyDescent="0.35">
      <c r="A664" s="5">
        <f t="shared" ca="1" si="10"/>
        <v>45223</v>
      </c>
      <c r="B664" s="3" t="s">
        <v>2460</v>
      </c>
      <c r="C664" s="3" t="s">
        <v>2461</v>
      </c>
      <c r="D664" s="3" t="s">
        <v>2462</v>
      </c>
      <c r="E664" s="3" t="s">
        <v>7298</v>
      </c>
      <c r="F664" s="3" t="s">
        <v>7299</v>
      </c>
    </row>
    <row r="665" spans="1:6" x14ac:dyDescent="0.35">
      <c r="A665" s="5">
        <f t="shared" ca="1" si="10"/>
        <v>45224</v>
      </c>
      <c r="B665" s="3" t="s">
        <v>2463</v>
      </c>
      <c r="C665" s="3" t="s">
        <v>2464</v>
      </c>
      <c r="D665" s="3" t="s">
        <v>2465</v>
      </c>
      <c r="E665" s="3" t="s">
        <v>7300</v>
      </c>
      <c r="F665" s="3" t="s">
        <v>7301</v>
      </c>
    </row>
    <row r="666" spans="1:6" x14ac:dyDescent="0.35">
      <c r="A666" s="5">
        <f t="shared" ca="1" si="10"/>
        <v>45225</v>
      </c>
      <c r="B666" s="3" t="s">
        <v>2466</v>
      </c>
      <c r="C666" s="3" t="s">
        <v>2467</v>
      </c>
      <c r="D666" s="3" t="s">
        <v>2468</v>
      </c>
      <c r="E666" s="3" t="s">
        <v>7302</v>
      </c>
      <c r="F666" s="3" t="s">
        <v>7303</v>
      </c>
    </row>
    <row r="667" spans="1:6" x14ac:dyDescent="0.35">
      <c r="A667" s="5">
        <f t="shared" ca="1" si="10"/>
        <v>45226</v>
      </c>
      <c r="B667" s="3" t="s">
        <v>2469</v>
      </c>
      <c r="C667" s="3" t="s">
        <v>2470</v>
      </c>
      <c r="D667" s="3" t="s">
        <v>2471</v>
      </c>
      <c r="E667" s="3" t="s">
        <v>7304</v>
      </c>
      <c r="F667" s="3" t="s">
        <v>7305</v>
      </c>
    </row>
    <row r="668" spans="1:6" x14ac:dyDescent="0.35">
      <c r="A668" s="5">
        <f t="shared" ca="1" si="10"/>
        <v>45227</v>
      </c>
      <c r="B668" s="3" t="s">
        <v>2472</v>
      </c>
      <c r="C668" s="3" t="s">
        <v>2473</v>
      </c>
      <c r="D668" s="3" t="s">
        <v>2474</v>
      </c>
      <c r="E668" s="3" t="s">
        <v>7306</v>
      </c>
      <c r="F668" s="3" t="s">
        <v>7307</v>
      </c>
    </row>
    <row r="669" spans="1:6" x14ac:dyDescent="0.35">
      <c r="A669" s="5">
        <f t="shared" ca="1" si="10"/>
        <v>45228</v>
      </c>
      <c r="B669" s="3" t="s">
        <v>2475</v>
      </c>
      <c r="C669" s="3" t="s">
        <v>2476</v>
      </c>
      <c r="D669" s="3" t="s">
        <v>2477</v>
      </c>
      <c r="E669" s="3" t="s">
        <v>7308</v>
      </c>
      <c r="F669" s="3" t="s">
        <v>7309</v>
      </c>
    </row>
    <row r="670" spans="1:6" x14ac:dyDescent="0.35">
      <c r="A670" s="5">
        <f t="shared" ca="1" si="10"/>
        <v>45229</v>
      </c>
      <c r="B670" s="3" t="s">
        <v>2478</v>
      </c>
      <c r="C670" s="3" t="s">
        <v>2479</v>
      </c>
      <c r="D670" s="3" t="s">
        <v>2480</v>
      </c>
      <c r="E670" s="3" t="s">
        <v>7310</v>
      </c>
      <c r="F670" s="3" t="s">
        <v>7311</v>
      </c>
    </row>
    <row r="671" spans="1:6" x14ac:dyDescent="0.35">
      <c r="A671" s="5">
        <f t="shared" ca="1" si="10"/>
        <v>45230</v>
      </c>
      <c r="B671" s="3" t="s">
        <v>2481</v>
      </c>
      <c r="C671" s="3" t="s">
        <v>2482</v>
      </c>
      <c r="D671" s="3" t="s">
        <v>2483</v>
      </c>
      <c r="E671" s="3" t="s">
        <v>7312</v>
      </c>
      <c r="F671" s="3" t="s">
        <v>7313</v>
      </c>
    </row>
    <row r="672" spans="1:6" x14ac:dyDescent="0.35">
      <c r="A672" s="5">
        <f t="shared" ca="1" si="10"/>
        <v>45231</v>
      </c>
      <c r="B672" s="3" t="s">
        <v>2484</v>
      </c>
      <c r="C672" s="3" t="s">
        <v>2485</v>
      </c>
      <c r="D672" s="3" t="s">
        <v>2486</v>
      </c>
      <c r="E672" s="3" t="s">
        <v>7314</v>
      </c>
      <c r="F672" s="3" t="s">
        <v>7315</v>
      </c>
    </row>
    <row r="673" spans="1:6" x14ac:dyDescent="0.35">
      <c r="A673" s="5">
        <f t="shared" ca="1" si="10"/>
        <v>45232</v>
      </c>
      <c r="B673" s="3" t="s">
        <v>2487</v>
      </c>
      <c r="C673" s="3" t="s">
        <v>2488</v>
      </c>
      <c r="D673" s="3" t="s">
        <v>2489</v>
      </c>
      <c r="E673" s="3" t="s">
        <v>7316</v>
      </c>
      <c r="F673" s="3" t="s">
        <v>7317</v>
      </c>
    </row>
    <row r="674" spans="1:6" x14ac:dyDescent="0.35">
      <c r="A674" s="5">
        <f t="shared" ca="1" si="10"/>
        <v>45233</v>
      </c>
      <c r="B674" s="3" t="s">
        <v>2490</v>
      </c>
      <c r="C674" s="3" t="s">
        <v>2491</v>
      </c>
      <c r="D674" s="3" t="s">
        <v>2492</v>
      </c>
      <c r="E674" s="3" t="s">
        <v>7318</v>
      </c>
      <c r="F674" s="3" t="s">
        <v>7319</v>
      </c>
    </row>
    <row r="675" spans="1:6" x14ac:dyDescent="0.35">
      <c r="A675" s="5">
        <f t="shared" ca="1" si="10"/>
        <v>45234</v>
      </c>
      <c r="B675" s="3" t="s">
        <v>2493</v>
      </c>
      <c r="C675" s="3" t="s">
        <v>2494</v>
      </c>
      <c r="D675" s="3" t="s">
        <v>2495</v>
      </c>
      <c r="E675" s="3" t="s">
        <v>7320</v>
      </c>
      <c r="F675" s="3" t="s">
        <v>7321</v>
      </c>
    </row>
    <row r="676" spans="1:6" x14ac:dyDescent="0.35">
      <c r="A676" s="5">
        <f t="shared" ca="1" si="10"/>
        <v>45235</v>
      </c>
      <c r="B676" s="3" t="s">
        <v>2496</v>
      </c>
      <c r="C676" s="3" t="s">
        <v>2497</v>
      </c>
      <c r="D676" s="3" t="s">
        <v>2498</v>
      </c>
      <c r="E676" s="3" t="s">
        <v>7322</v>
      </c>
      <c r="F676" s="3" t="s">
        <v>7323</v>
      </c>
    </row>
    <row r="677" spans="1:6" x14ac:dyDescent="0.35">
      <c r="A677" s="5">
        <f t="shared" ca="1" si="10"/>
        <v>45236</v>
      </c>
      <c r="B677" s="3" t="s">
        <v>2499</v>
      </c>
      <c r="C677" s="3" t="s">
        <v>2500</v>
      </c>
      <c r="D677" s="3" t="s">
        <v>2501</v>
      </c>
      <c r="E677" s="3" t="s">
        <v>7324</v>
      </c>
      <c r="F677" s="3" t="s">
        <v>7325</v>
      </c>
    </row>
    <row r="678" spans="1:6" x14ac:dyDescent="0.35">
      <c r="A678" s="5">
        <f t="shared" ca="1" si="10"/>
        <v>45237</v>
      </c>
      <c r="B678" s="3" t="s">
        <v>2502</v>
      </c>
      <c r="C678" s="3" t="s">
        <v>2503</v>
      </c>
      <c r="D678" s="3" t="s">
        <v>2504</v>
      </c>
      <c r="E678" s="3" t="s">
        <v>7326</v>
      </c>
      <c r="F678" s="3" t="s">
        <v>7327</v>
      </c>
    </row>
    <row r="679" spans="1:6" x14ac:dyDescent="0.35">
      <c r="A679" s="5">
        <f t="shared" ca="1" si="10"/>
        <v>45238</v>
      </c>
      <c r="B679" s="3" t="s">
        <v>2505</v>
      </c>
      <c r="C679" s="3" t="s">
        <v>2506</v>
      </c>
      <c r="D679" s="3" t="s">
        <v>2507</v>
      </c>
      <c r="E679" s="3" t="s">
        <v>7328</v>
      </c>
      <c r="F679" s="3" t="s">
        <v>7329</v>
      </c>
    </row>
    <row r="680" spans="1:6" x14ac:dyDescent="0.35">
      <c r="A680" s="5">
        <f t="shared" ca="1" si="10"/>
        <v>45239</v>
      </c>
      <c r="B680" s="3" t="s">
        <v>2508</v>
      </c>
      <c r="C680" s="3" t="s">
        <v>2509</v>
      </c>
      <c r="D680" s="3" t="s">
        <v>2510</v>
      </c>
      <c r="E680" s="3" t="s">
        <v>7330</v>
      </c>
      <c r="F680" s="3" t="s">
        <v>7331</v>
      </c>
    </row>
    <row r="681" spans="1:6" x14ac:dyDescent="0.35">
      <c r="A681" s="5">
        <f t="shared" ca="1" si="10"/>
        <v>45240</v>
      </c>
      <c r="B681" s="3" t="s">
        <v>2511</v>
      </c>
      <c r="C681" s="3" t="s">
        <v>2512</v>
      </c>
      <c r="D681" s="3" t="s">
        <v>2513</v>
      </c>
      <c r="E681" s="3" t="s">
        <v>7332</v>
      </c>
      <c r="F681" s="3" t="s">
        <v>7333</v>
      </c>
    </row>
    <row r="682" spans="1:6" x14ac:dyDescent="0.35">
      <c r="A682" s="5">
        <f t="shared" ca="1" si="10"/>
        <v>45241</v>
      </c>
      <c r="B682" s="3" t="s">
        <v>2514</v>
      </c>
      <c r="C682" s="3" t="s">
        <v>2515</v>
      </c>
      <c r="D682" s="3" t="s">
        <v>2516</v>
      </c>
      <c r="E682" s="3" t="s">
        <v>7334</v>
      </c>
      <c r="F682" s="3" t="s">
        <v>7335</v>
      </c>
    </row>
    <row r="683" spans="1:6" x14ac:dyDescent="0.35">
      <c r="A683" s="5">
        <f t="shared" ca="1" si="10"/>
        <v>45242</v>
      </c>
      <c r="B683" s="3" t="s">
        <v>2517</v>
      </c>
      <c r="C683" s="3" t="s">
        <v>2518</v>
      </c>
      <c r="D683" s="3" t="s">
        <v>2519</v>
      </c>
      <c r="E683" s="3" t="s">
        <v>7336</v>
      </c>
      <c r="F683" s="3" t="s">
        <v>7337</v>
      </c>
    </row>
    <row r="684" spans="1:6" x14ac:dyDescent="0.35">
      <c r="A684" s="5">
        <f t="shared" ca="1" si="10"/>
        <v>45243</v>
      </c>
      <c r="B684" s="3" t="s">
        <v>2520</v>
      </c>
      <c r="C684" s="3" t="s">
        <v>2521</v>
      </c>
      <c r="D684" s="3" t="s">
        <v>2522</v>
      </c>
      <c r="E684" s="3" t="s">
        <v>7338</v>
      </c>
      <c r="F684" s="3" t="s">
        <v>7339</v>
      </c>
    </row>
    <row r="685" spans="1:6" x14ac:dyDescent="0.35">
      <c r="A685" s="5">
        <f t="shared" ca="1" si="10"/>
        <v>45244</v>
      </c>
      <c r="B685" s="3" t="s">
        <v>2523</v>
      </c>
      <c r="C685" s="3" t="s">
        <v>2524</v>
      </c>
      <c r="D685" s="3" t="s">
        <v>2525</v>
      </c>
      <c r="E685" s="3" t="s">
        <v>7340</v>
      </c>
      <c r="F685" s="3" t="s">
        <v>7341</v>
      </c>
    </row>
    <row r="686" spans="1:6" x14ac:dyDescent="0.35">
      <c r="A686" s="5">
        <f t="shared" ca="1" si="10"/>
        <v>45245</v>
      </c>
      <c r="B686" s="3" t="s">
        <v>2526</v>
      </c>
      <c r="C686" s="3" t="s">
        <v>2527</v>
      </c>
      <c r="D686" s="3" t="s">
        <v>2528</v>
      </c>
      <c r="E686" s="3" t="s">
        <v>7342</v>
      </c>
      <c r="F686" s="3" t="s">
        <v>7343</v>
      </c>
    </row>
    <row r="687" spans="1:6" x14ac:dyDescent="0.35">
      <c r="A687" s="5">
        <f t="shared" ca="1" si="10"/>
        <v>45246</v>
      </c>
      <c r="B687" s="3" t="s">
        <v>2529</v>
      </c>
      <c r="C687" s="3" t="s">
        <v>2530</v>
      </c>
      <c r="D687" s="3" t="s">
        <v>2531</v>
      </c>
      <c r="E687" s="3" t="s">
        <v>7344</v>
      </c>
      <c r="F687" s="3" t="s">
        <v>7345</v>
      </c>
    </row>
    <row r="688" spans="1:6" x14ac:dyDescent="0.35">
      <c r="A688" s="5">
        <f t="shared" ca="1" si="10"/>
        <v>45247</v>
      </c>
      <c r="B688" s="3" t="s">
        <v>2532</v>
      </c>
      <c r="C688" s="3" t="s">
        <v>2533</v>
      </c>
      <c r="D688" s="3" t="s">
        <v>2534</v>
      </c>
      <c r="E688" s="3" t="s">
        <v>7346</v>
      </c>
      <c r="F688" s="3" t="s">
        <v>7347</v>
      </c>
    </row>
    <row r="689" spans="1:6" x14ac:dyDescent="0.35">
      <c r="A689" s="5">
        <f t="shared" ca="1" si="10"/>
        <v>45248</v>
      </c>
      <c r="B689" s="3" t="s">
        <v>2535</v>
      </c>
      <c r="C689" s="3" t="s">
        <v>2536</v>
      </c>
      <c r="D689" s="3" t="s">
        <v>2537</v>
      </c>
      <c r="E689" s="3" t="s">
        <v>7348</v>
      </c>
      <c r="F689" s="3" t="s">
        <v>7349</v>
      </c>
    </row>
    <row r="690" spans="1:6" x14ac:dyDescent="0.35">
      <c r="A690" s="5">
        <f t="shared" ca="1" si="10"/>
        <v>45249</v>
      </c>
      <c r="B690" s="3" t="s">
        <v>2538</v>
      </c>
      <c r="C690" s="3" t="s">
        <v>2539</v>
      </c>
      <c r="D690" s="3" t="s">
        <v>2540</v>
      </c>
      <c r="E690" s="3" t="s">
        <v>7350</v>
      </c>
      <c r="F690" s="3" t="s">
        <v>7351</v>
      </c>
    </row>
    <row r="691" spans="1:6" x14ac:dyDescent="0.35">
      <c r="A691" s="5">
        <f t="shared" ca="1" si="10"/>
        <v>45250</v>
      </c>
      <c r="B691" s="3" t="s">
        <v>2541</v>
      </c>
      <c r="C691" s="3" t="s">
        <v>2542</v>
      </c>
      <c r="D691" s="3" t="s">
        <v>2543</v>
      </c>
      <c r="E691" s="3" t="s">
        <v>7352</v>
      </c>
      <c r="F691" s="3" t="s">
        <v>7353</v>
      </c>
    </row>
    <row r="692" spans="1:6" x14ac:dyDescent="0.35">
      <c r="A692" s="5">
        <f t="shared" ca="1" si="10"/>
        <v>45251</v>
      </c>
      <c r="B692" s="3" t="s">
        <v>2544</v>
      </c>
      <c r="C692" s="3" t="s">
        <v>2545</v>
      </c>
      <c r="D692" s="3" t="s">
        <v>2546</v>
      </c>
      <c r="E692" s="3" t="s">
        <v>7354</v>
      </c>
      <c r="F692" s="3" t="s">
        <v>7355</v>
      </c>
    </row>
    <row r="693" spans="1:6" x14ac:dyDescent="0.35">
      <c r="A693" s="5">
        <f t="shared" ca="1" si="10"/>
        <v>45252</v>
      </c>
      <c r="B693" s="3" t="s">
        <v>2547</v>
      </c>
      <c r="C693" s="3" t="s">
        <v>2548</v>
      </c>
      <c r="D693" s="3" t="s">
        <v>2549</v>
      </c>
      <c r="E693" s="3" t="s">
        <v>7356</v>
      </c>
      <c r="F693" s="3" t="s">
        <v>7357</v>
      </c>
    </row>
    <row r="694" spans="1:6" x14ac:dyDescent="0.35">
      <c r="A694" s="5">
        <f t="shared" ca="1" si="10"/>
        <v>45253</v>
      </c>
      <c r="B694" s="3" t="s">
        <v>2550</v>
      </c>
      <c r="C694" s="3" t="s">
        <v>2551</v>
      </c>
      <c r="D694" s="3" t="s">
        <v>2552</v>
      </c>
      <c r="E694" s="3" t="s">
        <v>7358</v>
      </c>
      <c r="F694" s="3" t="s">
        <v>7359</v>
      </c>
    </row>
    <row r="695" spans="1:6" x14ac:dyDescent="0.35">
      <c r="A695" s="5">
        <f t="shared" ca="1" si="10"/>
        <v>45254</v>
      </c>
      <c r="B695" s="3" t="s">
        <v>2553</v>
      </c>
      <c r="C695" s="3" t="s">
        <v>2554</v>
      </c>
      <c r="D695" s="3" t="s">
        <v>2555</v>
      </c>
      <c r="E695" s="3" t="s">
        <v>7360</v>
      </c>
      <c r="F695" s="3" t="s">
        <v>7361</v>
      </c>
    </row>
    <row r="696" spans="1:6" x14ac:dyDescent="0.35">
      <c r="A696" s="5">
        <f t="shared" ca="1" si="10"/>
        <v>45255</v>
      </c>
      <c r="B696" s="3" t="s">
        <v>2556</v>
      </c>
      <c r="C696" s="3" t="s">
        <v>2557</v>
      </c>
      <c r="D696" s="3" t="s">
        <v>2558</v>
      </c>
      <c r="E696" s="3" t="s">
        <v>7362</v>
      </c>
      <c r="F696" s="3" t="s">
        <v>7363</v>
      </c>
    </row>
    <row r="697" spans="1:6" x14ac:dyDescent="0.35">
      <c r="A697" s="5">
        <f t="shared" ca="1" si="10"/>
        <v>45256</v>
      </c>
      <c r="B697" s="3" t="s">
        <v>2559</v>
      </c>
      <c r="C697" s="3" t="s">
        <v>2560</v>
      </c>
      <c r="D697" s="3" t="s">
        <v>2561</v>
      </c>
      <c r="E697" s="3" t="s">
        <v>7364</v>
      </c>
      <c r="F697" s="3" t="s">
        <v>7365</v>
      </c>
    </row>
    <row r="698" spans="1:6" x14ac:dyDescent="0.35">
      <c r="A698" s="5">
        <f t="shared" ca="1" si="10"/>
        <v>45257</v>
      </c>
      <c r="B698" s="3" t="s">
        <v>2562</v>
      </c>
      <c r="C698" s="3" t="s">
        <v>2563</v>
      </c>
      <c r="D698" s="3" t="s">
        <v>2564</v>
      </c>
      <c r="E698" s="3" t="s">
        <v>7366</v>
      </c>
      <c r="F698" s="3" t="s">
        <v>7367</v>
      </c>
    </row>
    <row r="699" spans="1:6" x14ac:dyDescent="0.35">
      <c r="A699" s="5">
        <f t="shared" ca="1" si="10"/>
        <v>45258</v>
      </c>
      <c r="B699" s="3" t="s">
        <v>2565</v>
      </c>
      <c r="C699" s="3" t="s">
        <v>2566</v>
      </c>
      <c r="D699" s="3" t="s">
        <v>2567</v>
      </c>
      <c r="E699" s="3" t="s">
        <v>7368</v>
      </c>
      <c r="F699" s="3" t="s">
        <v>7369</v>
      </c>
    </row>
    <row r="700" spans="1:6" x14ac:dyDescent="0.35">
      <c r="A700" s="5">
        <f t="shared" ca="1" si="10"/>
        <v>45259</v>
      </c>
      <c r="B700" s="3" t="s">
        <v>2568</v>
      </c>
      <c r="C700" s="3" t="s">
        <v>2569</v>
      </c>
      <c r="D700" s="3" t="s">
        <v>2570</v>
      </c>
      <c r="E700" s="3" t="s">
        <v>7370</v>
      </c>
      <c r="F700" s="3" t="s">
        <v>7371</v>
      </c>
    </row>
    <row r="701" spans="1:6" x14ac:dyDescent="0.35">
      <c r="A701" s="5">
        <f t="shared" ca="1" si="10"/>
        <v>45260</v>
      </c>
      <c r="B701" s="3" t="s">
        <v>2571</v>
      </c>
      <c r="C701" s="3" t="s">
        <v>2572</v>
      </c>
      <c r="D701" s="3" t="s">
        <v>2573</v>
      </c>
      <c r="E701" s="3" t="s">
        <v>7372</v>
      </c>
      <c r="F701" s="3" t="s">
        <v>7373</v>
      </c>
    </row>
    <row r="702" spans="1:6" x14ac:dyDescent="0.35">
      <c r="A702" s="5">
        <f t="shared" ca="1" si="10"/>
        <v>45261</v>
      </c>
      <c r="B702" s="3" t="s">
        <v>2574</v>
      </c>
      <c r="C702" s="3" t="s">
        <v>2575</v>
      </c>
      <c r="D702" s="3" t="s">
        <v>2576</v>
      </c>
      <c r="E702" s="3" t="s">
        <v>7374</v>
      </c>
      <c r="F702" s="3" t="s">
        <v>7375</v>
      </c>
    </row>
    <row r="703" spans="1:6" x14ac:dyDescent="0.35">
      <c r="A703" s="5">
        <f t="shared" ca="1" si="10"/>
        <v>45262</v>
      </c>
      <c r="B703" s="3" t="s">
        <v>2577</v>
      </c>
      <c r="C703" s="3" t="s">
        <v>2578</v>
      </c>
      <c r="D703" s="3" t="s">
        <v>2579</v>
      </c>
      <c r="E703" s="3" t="s">
        <v>7376</v>
      </c>
      <c r="F703" s="3" t="s">
        <v>7377</v>
      </c>
    </row>
    <row r="704" spans="1:6" x14ac:dyDescent="0.35">
      <c r="A704" s="5">
        <f t="shared" ca="1" si="10"/>
        <v>45263</v>
      </c>
      <c r="B704" s="3" t="s">
        <v>2580</v>
      </c>
      <c r="C704" s="3" t="s">
        <v>2581</v>
      </c>
      <c r="D704" s="3" t="s">
        <v>2582</v>
      </c>
      <c r="E704" s="3" t="s">
        <v>7378</v>
      </c>
      <c r="F704" s="3" t="s">
        <v>7379</v>
      </c>
    </row>
    <row r="705" spans="1:6" x14ac:dyDescent="0.35">
      <c r="A705" s="5">
        <f t="shared" ca="1" si="10"/>
        <v>45264</v>
      </c>
      <c r="B705" s="3" t="s">
        <v>2583</v>
      </c>
      <c r="C705" s="3" t="s">
        <v>2584</v>
      </c>
      <c r="D705" s="3" t="s">
        <v>2585</v>
      </c>
      <c r="E705" s="3" t="s">
        <v>7380</v>
      </c>
      <c r="F705" s="3" t="s">
        <v>7381</v>
      </c>
    </row>
    <row r="706" spans="1:6" x14ac:dyDescent="0.35">
      <c r="A706" s="5">
        <f t="shared" ca="1" si="10"/>
        <v>45265</v>
      </c>
      <c r="B706" s="3" t="s">
        <v>2586</v>
      </c>
      <c r="C706" s="3" t="s">
        <v>2587</v>
      </c>
      <c r="D706" s="3" t="s">
        <v>2588</v>
      </c>
      <c r="E706" s="3" t="s">
        <v>7382</v>
      </c>
      <c r="F706" s="3" t="s">
        <v>7383</v>
      </c>
    </row>
    <row r="707" spans="1:6" x14ac:dyDescent="0.35">
      <c r="A707" s="5">
        <f t="shared" ca="1" si="10"/>
        <v>45266</v>
      </c>
      <c r="B707" s="3" t="s">
        <v>2589</v>
      </c>
      <c r="C707" s="3" t="s">
        <v>2590</v>
      </c>
      <c r="D707" s="3" t="s">
        <v>2591</v>
      </c>
      <c r="E707" s="3" t="s">
        <v>7384</v>
      </c>
      <c r="F707" s="3" t="s">
        <v>7385</v>
      </c>
    </row>
    <row r="708" spans="1:6" x14ac:dyDescent="0.35">
      <c r="A708" s="5">
        <f t="shared" ca="1" si="10"/>
        <v>45267</v>
      </c>
      <c r="B708" s="3" t="s">
        <v>2592</v>
      </c>
      <c r="C708" s="3" t="s">
        <v>2593</v>
      </c>
      <c r="D708" s="3" t="s">
        <v>2594</v>
      </c>
      <c r="E708" s="3" t="s">
        <v>7386</v>
      </c>
      <c r="F708" s="3" t="s">
        <v>7387</v>
      </c>
    </row>
    <row r="709" spans="1:6" x14ac:dyDescent="0.35">
      <c r="A709" s="5">
        <f t="shared" ref="A709:A772" ca="1" si="11">A708+1</f>
        <v>45268</v>
      </c>
      <c r="B709" s="3" t="s">
        <v>2595</v>
      </c>
      <c r="C709" s="3" t="s">
        <v>2596</v>
      </c>
      <c r="D709" s="3" t="s">
        <v>2597</v>
      </c>
      <c r="E709" s="3" t="s">
        <v>7388</v>
      </c>
      <c r="F709" s="3" t="s">
        <v>7389</v>
      </c>
    </row>
    <row r="710" spans="1:6" x14ac:dyDescent="0.35">
      <c r="A710" s="5">
        <f t="shared" ca="1" si="11"/>
        <v>45269</v>
      </c>
      <c r="B710" s="3" t="s">
        <v>2598</v>
      </c>
      <c r="C710" s="3" t="s">
        <v>2599</v>
      </c>
      <c r="D710" s="3" t="s">
        <v>2600</v>
      </c>
      <c r="E710" s="3" t="s">
        <v>7390</v>
      </c>
      <c r="F710" s="3" t="s">
        <v>7391</v>
      </c>
    </row>
    <row r="711" spans="1:6" x14ac:dyDescent="0.35">
      <c r="A711" s="5">
        <f t="shared" ca="1" si="11"/>
        <v>45270</v>
      </c>
      <c r="B711" s="3" t="s">
        <v>2601</v>
      </c>
      <c r="C711" s="3" t="s">
        <v>2602</v>
      </c>
      <c r="D711" s="3" t="s">
        <v>2603</v>
      </c>
      <c r="E711" s="3" t="s">
        <v>7392</v>
      </c>
      <c r="F711" s="3" t="s">
        <v>7393</v>
      </c>
    </row>
    <row r="712" spans="1:6" x14ac:dyDescent="0.35">
      <c r="A712" s="5">
        <f t="shared" ca="1" si="11"/>
        <v>45271</v>
      </c>
      <c r="B712" s="3" t="s">
        <v>2604</v>
      </c>
      <c r="C712" s="3" t="s">
        <v>2605</v>
      </c>
      <c r="D712" s="3" t="s">
        <v>2606</v>
      </c>
      <c r="E712" s="3" t="s">
        <v>7394</v>
      </c>
      <c r="F712" s="3" t="s">
        <v>7395</v>
      </c>
    </row>
    <row r="713" spans="1:6" x14ac:dyDescent="0.35">
      <c r="A713" s="5">
        <f t="shared" ca="1" si="11"/>
        <v>45272</v>
      </c>
      <c r="B713" s="3" t="s">
        <v>2607</v>
      </c>
      <c r="C713" s="3" t="s">
        <v>2608</v>
      </c>
      <c r="D713" s="3" t="s">
        <v>2609</v>
      </c>
      <c r="E713" s="3" t="s">
        <v>7396</v>
      </c>
      <c r="F713" s="3" t="s">
        <v>7397</v>
      </c>
    </row>
    <row r="714" spans="1:6" x14ac:dyDescent="0.35">
      <c r="A714" s="5">
        <f t="shared" ca="1" si="11"/>
        <v>45273</v>
      </c>
      <c r="B714" s="3" t="s">
        <v>2610</v>
      </c>
      <c r="C714" s="3" t="s">
        <v>2611</v>
      </c>
      <c r="D714" s="3" t="s">
        <v>2612</v>
      </c>
      <c r="E714" s="3" t="s">
        <v>7398</v>
      </c>
      <c r="F714" s="3" t="s">
        <v>7399</v>
      </c>
    </row>
    <row r="715" spans="1:6" x14ac:dyDescent="0.35">
      <c r="A715" s="5">
        <f t="shared" ca="1" si="11"/>
        <v>45274</v>
      </c>
      <c r="B715" s="3" t="s">
        <v>2613</v>
      </c>
      <c r="C715" s="3" t="s">
        <v>2614</v>
      </c>
      <c r="D715" s="3" t="s">
        <v>2615</v>
      </c>
      <c r="E715" s="3" t="s">
        <v>7400</v>
      </c>
      <c r="F715" s="3" t="s">
        <v>7401</v>
      </c>
    </row>
    <row r="716" spans="1:6" x14ac:dyDescent="0.35">
      <c r="A716" s="5">
        <f t="shared" ca="1" si="11"/>
        <v>45275</v>
      </c>
      <c r="B716" s="3" t="s">
        <v>2616</v>
      </c>
      <c r="C716" s="3" t="s">
        <v>2617</v>
      </c>
      <c r="D716" s="3" t="s">
        <v>2618</v>
      </c>
      <c r="E716" s="3" t="s">
        <v>7402</v>
      </c>
      <c r="F716" s="3" t="s">
        <v>7403</v>
      </c>
    </row>
    <row r="717" spans="1:6" x14ac:dyDescent="0.35">
      <c r="A717" s="5">
        <f t="shared" ca="1" si="11"/>
        <v>45276</v>
      </c>
      <c r="B717" s="3" t="s">
        <v>2619</v>
      </c>
      <c r="C717" s="3" t="s">
        <v>2620</v>
      </c>
      <c r="D717" s="3" t="s">
        <v>2621</v>
      </c>
      <c r="E717" s="3" t="s">
        <v>7404</v>
      </c>
      <c r="F717" s="3" t="s">
        <v>7405</v>
      </c>
    </row>
    <row r="718" spans="1:6" x14ac:dyDescent="0.35">
      <c r="A718" s="5">
        <f t="shared" ca="1" si="11"/>
        <v>45277</v>
      </c>
      <c r="B718" s="3" t="s">
        <v>2622</v>
      </c>
      <c r="C718" s="3" t="s">
        <v>2623</v>
      </c>
      <c r="D718" s="3" t="s">
        <v>2624</v>
      </c>
      <c r="E718" s="3" t="s">
        <v>7406</v>
      </c>
      <c r="F718" s="3" t="s">
        <v>7407</v>
      </c>
    </row>
    <row r="719" spans="1:6" x14ac:dyDescent="0.35">
      <c r="A719" s="5">
        <f t="shared" ca="1" si="11"/>
        <v>45278</v>
      </c>
      <c r="B719" s="3" t="s">
        <v>2625</v>
      </c>
      <c r="C719" s="3" t="s">
        <v>2626</v>
      </c>
      <c r="D719" s="3" t="s">
        <v>2627</v>
      </c>
      <c r="E719" s="3" t="s">
        <v>7408</v>
      </c>
      <c r="F719" s="3" t="s">
        <v>7409</v>
      </c>
    </row>
    <row r="720" spans="1:6" x14ac:dyDescent="0.35">
      <c r="A720" s="5">
        <f t="shared" ca="1" si="11"/>
        <v>45279</v>
      </c>
      <c r="B720" s="3" t="s">
        <v>2628</v>
      </c>
      <c r="C720" s="3" t="s">
        <v>2629</v>
      </c>
      <c r="D720" s="3" t="s">
        <v>2630</v>
      </c>
      <c r="E720" s="3" t="s">
        <v>7410</v>
      </c>
      <c r="F720" s="3" t="s">
        <v>7411</v>
      </c>
    </row>
    <row r="721" spans="1:6" x14ac:dyDescent="0.35">
      <c r="A721" s="5">
        <f t="shared" ca="1" si="11"/>
        <v>45280</v>
      </c>
      <c r="B721" s="3" t="s">
        <v>2631</v>
      </c>
      <c r="C721" s="3" t="s">
        <v>2632</v>
      </c>
      <c r="D721" s="3" t="s">
        <v>2633</v>
      </c>
      <c r="E721" s="3" t="s">
        <v>7412</v>
      </c>
      <c r="F721" s="3" t="s">
        <v>7413</v>
      </c>
    </row>
    <row r="722" spans="1:6" x14ac:dyDescent="0.35">
      <c r="A722" s="5">
        <f t="shared" ca="1" si="11"/>
        <v>45281</v>
      </c>
      <c r="B722" s="3" t="s">
        <v>2634</v>
      </c>
      <c r="C722" s="3" t="s">
        <v>2635</v>
      </c>
      <c r="D722" s="3" t="s">
        <v>2636</v>
      </c>
      <c r="E722" s="3" t="s">
        <v>7414</v>
      </c>
      <c r="F722" s="3" t="s">
        <v>7415</v>
      </c>
    </row>
    <row r="723" spans="1:6" x14ac:dyDescent="0.35">
      <c r="A723" s="5">
        <f t="shared" ca="1" si="11"/>
        <v>45282</v>
      </c>
      <c r="B723" s="3" t="s">
        <v>2637</v>
      </c>
      <c r="C723" s="3" t="s">
        <v>2638</v>
      </c>
      <c r="D723" s="3" t="s">
        <v>2639</v>
      </c>
      <c r="E723" s="3" t="s">
        <v>7416</v>
      </c>
      <c r="F723" s="3" t="s">
        <v>7417</v>
      </c>
    </row>
    <row r="724" spans="1:6" x14ac:dyDescent="0.35">
      <c r="A724" s="5">
        <f t="shared" ca="1" si="11"/>
        <v>45283</v>
      </c>
      <c r="B724" s="3" t="s">
        <v>2640</v>
      </c>
      <c r="C724" s="3" t="s">
        <v>2641</v>
      </c>
      <c r="D724" s="3" t="s">
        <v>2642</v>
      </c>
      <c r="E724" s="3" t="s">
        <v>7418</v>
      </c>
      <c r="F724" s="3" t="s">
        <v>7419</v>
      </c>
    </row>
    <row r="725" spans="1:6" x14ac:dyDescent="0.35">
      <c r="A725" s="5">
        <f t="shared" ca="1" si="11"/>
        <v>45284</v>
      </c>
      <c r="B725" s="3" t="s">
        <v>2643</v>
      </c>
      <c r="C725" s="3" t="s">
        <v>2644</v>
      </c>
      <c r="D725" s="3" t="s">
        <v>2645</v>
      </c>
      <c r="E725" s="3" t="s">
        <v>7420</v>
      </c>
      <c r="F725" s="3" t="s">
        <v>7421</v>
      </c>
    </row>
    <row r="726" spans="1:6" x14ac:dyDescent="0.35">
      <c r="A726" s="5">
        <f t="shared" ca="1" si="11"/>
        <v>45285</v>
      </c>
      <c r="B726" s="3" t="s">
        <v>2646</v>
      </c>
      <c r="C726" s="3" t="s">
        <v>2647</v>
      </c>
      <c r="D726" s="3" t="s">
        <v>2648</v>
      </c>
      <c r="E726" s="3" t="s">
        <v>7422</v>
      </c>
      <c r="F726" s="3" t="s">
        <v>7423</v>
      </c>
    </row>
    <row r="727" spans="1:6" x14ac:dyDescent="0.35">
      <c r="A727" s="5">
        <f t="shared" ca="1" si="11"/>
        <v>45286</v>
      </c>
      <c r="B727" s="3" t="s">
        <v>2649</v>
      </c>
      <c r="C727" s="3" t="s">
        <v>2650</v>
      </c>
      <c r="D727" s="3" t="s">
        <v>2651</v>
      </c>
      <c r="E727" s="3" t="s">
        <v>7424</v>
      </c>
      <c r="F727" s="3" t="s">
        <v>7425</v>
      </c>
    </row>
    <row r="728" spans="1:6" x14ac:dyDescent="0.35">
      <c r="A728" s="5">
        <f t="shared" ca="1" si="11"/>
        <v>45287</v>
      </c>
      <c r="B728" s="3" t="s">
        <v>2652</v>
      </c>
      <c r="C728" s="3" t="s">
        <v>2653</v>
      </c>
      <c r="D728" s="3" t="s">
        <v>2654</v>
      </c>
      <c r="E728" s="3" t="s">
        <v>7426</v>
      </c>
      <c r="F728" s="3" t="s">
        <v>7427</v>
      </c>
    </row>
    <row r="729" spans="1:6" x14ac:dyDescent="0.35">
      <c r="A729" s="5">
        <f t="shared" ca="1" si="11"/>
        <v>45288</v>
      </c>
      <c r="B729" s="3" t="s">
        <v>2655</v>
      </c>
      <c r="C729" s="3" t="s">
        <v>2656</v>
      </c>
      <c r="D729" s="3" t="s">
        <v>2657</v>
      </c>
      <c r="E729" s="3" t="s">
        <v>7428</v>
      </c>
      <c r="F729" s="3" t="s">
        <v>7429</v>
      </c>
    </row>
    <row r="730" spans="1:6" x14ac:dyDescent="0.35">
      <c r="A730" s="5">
        <f t="shared" ca="1" si="11"/>
        <v>45289</v>
      </c>
      <c r="B730" s="3" t="s">
        <v>2658</v>
      </c>
      <c r="C730" s="3" t="s">
        <v>2659</v>
      </c>
      <c r="D730" s="3" t="s">
        <v>2660</v>
      </c>
      <c r="E730" s="3" t="s">
        <v>7430</v>
      </c>
      <c r="F730" s="3" t="s">
        <v>7431</v>
      </c>
    </row>
    <row r="731" spans="1:6" x14ac:dyDescent="0.35">
      <c r="A731" s="5">
        <f t="shared" ca="1" si="11"/>
        <v>45290</v>
      </c>
      <c r="B731" s="3" t="s">
        <v>2661</v>
      </c>
      <c r="C731" s="3" t="s">
        <v>2662</v>
      </c>
      <c r="D731" s="3" t="s">
        <v>2663</v>
      </c>
      <c r="E731" s="3" t="s">
        <v>7432</v>
      </c>
      <c r="F731" s="3" t="s">
        <v>7433</v>
      </c>
    </row>
    <row r="732" spans="1:6" x14ac:dyDescent="0.35">
      <c r="A732" s="5">
        <f t="shared" ca="1" si="11"/>
        <v>45291</v>
      </c>
      <c r="B732" s="3" t="s">
        <v>2664</v>
      </c>
      <c r="C732" s="3" t="s">
        <v>2665</v>
      </c>
      <c r="D732" s="3" t="s">
        <v>2666</v>
      </c>
      <c r="E732" s="3" t="s">
        <v>7434</v>
      </c>
      <c r="F732" s="3" t="s">
        <v>7435</v>
      </c>
    </row>
    <row r="733" spans="1:6" x14ac:dyDescent="0.35">
      <c r="A733" s="5">
        <f t="shared" ca="1" si="11"/>
        <v>45292</v>
      </c>
      <c r="B733" s="3" t="s">
        <v>2667</v>
      </c>
      <c r="C733" s="3" t="s">
        <v>2668</v>
      </c>
      <c r="D733" s="3" t="s">
        <v>2669</v>
      </c>
      <c r="E733" s="3" t="s">
        <v>7436</v>
      </c>
      <c r="F733" s="3" t="s">
        <v>7437</v>
      </c>
    </row>
    <row r="734" spans="1:6" x14ac:dyDescent="0.35">
      <c r="A734" s="5">
        <f t="shared" ca="1" si="11"/>
        <v>45293</v>
      </c>
      <c r="B734" s="3" t="s">
        <v>2670</v>
      </c>
      <c r="C734" s="3" t="s">
        <v>2671</v>
      </c>
      <c r="D734" s="3" t="s">
        <v>2672</v>
      </c>
      <c r="E734" s="3" t="s">
        <v>7438</v>
      </c>
      <c r="F734" s="3" t="s">
        <v>7439</v>
      </c>
    </row>
    <row r="735" spans="1:6" x14ac:dyDescent="0.35">
      <c r="A735" s="5">
        <f t="shared" ca="1" si="11"/>
        <v>45294</v>
      </c>
      <c r="B735" s="3" t="s">
        <v>2673</v>
      </c>
      <c r="C735" s="3" t="s">
        <v>2674</v>
      </c>
      <c r="D735" s="3" t="s">
        <v>2675</v>
      </c>
      <c r="E735" s="3" t="s">
        <v>7440</v>
      </c>
      <c r="F735" s="3" t="s">
        <v>7441</v>
      </c>
    </row>
    <row r="736" spans="1:6" x14ac:dyDescent="0.35">
      <c r="A736" s="5">
        <f t="shared" ca="1" si="11"/>
        <v>45295</v>
      </c>
      <c r="B736" s="3" t="s">
        <v>2676</v>
      </c>
      <c r="C736" s="3" t="s">
        <v>2677</v>
      </c>
      <c r="D736" s="3" t="s">
        <v>2678</v>
      </c>
      <c r="E736" s="3" t="s">
        <v>7442</v>
      </c>
      <c r="F736" s="3" t="s">
        <v>7443</v>
      </c>
    </row>
    <row r="737" spans="1:6" x14ac:dyDescent="0.35">
      <c r="A737" s="5">
        <f t="shared" ca="1" si="11"/>
        <v>45296</v>
      </c>
      <c r="B737" s="3" t="s">
        <v>2679</v>
      </c>
      <c r="C737" s="3" t="s">
        <v>2680</v>
      </c>
      <c r="D737" s="3" t="s">
        <v>2681</v>
      </c>
      <c r="E737" s="3" t="s">
        <v>7444</v>
      </c>
      <c r="F737" s="3" t="s">
        <v>7445</v>
      </c>
    </row>
    <row r="738" spans="1:6" x14ac:dyDescent="0.35">
      <c r="A738" s="5">
        <f t="shared" ca="1" si="11"/>
        <v>45297</v>
      </c>
      <c r="B738" s="3" t="s">
        <v>2682</v>
      </c>
      <c r="C738" s="3" t="s">
        <v>2683</v>
      </c>
      <c r="D738" s="3" t="s">
        <v>2684</v>
      </c>
      <c r="E738" s="3" t="s">
        <v>7446</v>
      </c>
      <c r="F738" s="3" t="s">
        <v>7447</v>
      </c>
    </row>
    <row r="739" spans="1:6" x14ac:dyDescent="0.35">
      <c r="A739" s="5">
        <f t="shared" ca="1" si="11"/>
        <v>45298</v>
      </c>
      <c r="B739" s="3" t="s">
        <v>2685</v>
      </c>
      <c r="C739" s="3" t="s">
        <v>2686</v>
      </c>
      <c r="D739" s="3" t="s">
        <v>2687</v>
      </c>
      <c r="E739" s="3" t="s">
        <v>7448</v>
      </c>
      <c r="F739" s="3" t="s">
        <v>7449</v>
      </c>
    </row>
    <row r="740" spans="1:6" x14ac:dyDescent="0.35">
      <c r="A740" s="5">
        <f t="shared" ca="1" si="11"/>
        <v>45299</v>
      </c>
      <c r="B740" s="3" t="s">
        <v>2688</v>
      </c>
      <c r="C740" s="3" t="s">
        <v>2689</v>
      </c>
      <c r="D740" s="3" t="s">
        <v>2690</v>
      </c>
      <c r="E740" s="3" t="s">
        <v>7450</v>
      </c>
      <c r="F740" s="3" t="s">
        <v>7451</v>
      </c>
    </row>
    <row r="741" spans="1:6" x14ac:dyDescent="0.35">
      <c r="A741" s="5">
        <f t="shared" ca="1" si="11"/>
        <v>45300</v>
      </c>
      <c r="B741" s="3" t="s">
        <v>2691</v>
      </c>
      <c r="C741" s="3" t="s">
        <v>2692</v>
      </c>
      <c r="D741" s="3" t="s">
        <v>2693</v>
      </c>
      <c r="E741" s="3" t="s">
        <v>7452</v>
      </c>
      <c r="F741" s="3" t="s">
        <v>7453</v>
      </c>
    </row>
    <row r="742" spans="1:6" x14ac:dyDescent="0.35">
      <c r="A742" s="5">
        <f t="shared" ca="1" si="11"/>
        <v>45301</v>
      </c>
      <c r="B742" s="3" t="s">
        <v>2694</v>
      </c>
      <c r="C742" s="3" t="s">
        <v>2695</v>
      </c>
      <c r="D742" s="3" t="s">
        <v>2696</v>
      </c>
      <c r="E742" s="3" t="s">
        <v>7454</v>
      </c>
      <c r="F742" s="3" t="s">
        <v>7455</v>
      </c>
    </row>
    <row r="743" spans="1:6" x14ac:dyDescent="0.35">
      <c r="A743" s="5">
        <f t="shared" ca="1" si="11"/>
        <v>45302</v>
      </c>
      <c r="B743" s="3" t="s">
        <v>2697</v>
      </c>
      <c r="C743" s="3" t="s">
        <v>2698</v>
      </c>
      <c r="D743" s="3" t="s">
        <v>2699</v>
      </c>
      <c r="E743" s="3" t="s">
        <v>7456</v>
      </c>
      <c r="F743" s="3" t="s">
        <v>7457</v>
      </c>
    </row>
    <row r="744" spans="1:6" x14ac:dyDescent="0.35">
      <c r="A744" s="5">
        <f t="shared" ca="1" si="11"/>
        <v>45303</v>
      </c>
      <c r="B744" s="3" t="s">
        <v>2700</v>
      </c>
      <c r="C744" s="3" t="s">
        <v>2701</v>
      </c>
      <c r="D744" s="3" t="s">
        <v>2702</v>
      </c>
      <c r="E744" s="3" t="s">
        <v>7458</v>
      </c>
      <c r="F744" s="3" t="s">
        <v>7459</v>
      </c>
    </row>
    <row r="745" spans="1:6" x14ac:dyDescent="0.35">
      <c r="A745" s="5">
        <f t="shared" ca="1" si="11"/>
        <v>45304</v>
      </c>
      <c r="B745" s="3" t="s">
        <v>2703</v>
      </c>
      <c r="C745" s="3" t="s">
        <v>2704</v>
      </c>
      <c r="D745" s="3" t="s">
        <v>2705</v>
      </c>
      <c r="E745" s="3" t="s">
        <v>7460</v>
      </c>
      <c r="F745" s="3" t="s">
        <v>7461</v>
      </c>
    </row>
    <row r="746" spans="1:6" x14ac:dyDescent="0.35">
      <c r="A746" s="5">
        <f t="shared" ca="1" si="11"/>
        <v>45305</v>
      </c>
      <c r="B746" s="3" t="s">
        <v>2706</v>
      </c>
      <c r="C746" s="3" t="s">
        <v>2707</v>
      </c>
      <c r="D746" s="3" t="s">
        <v>2708</v>
      </c>
      <c r="E746" s="3" t="s">
        <v>7462</v>
      </c>
      <c r="F746" s="3" t="s">
        <v>7463</v>
      </c>
    </row>
    <row r="747" spans="1:6" x14ac:dyDescent="0.35">
      <c r="A747" s="5">
        <f t="shared" ca="1" si="11"/>
        <v>45306</v>
      </c>
      <c r="B747" s="3" t="s">
        <v>2709</v>
      </c>
      <c r="C747" s="3" t="s">
        <v>2710</v>
      </c>
      <c r="D747" s="3" t="s">
        <v>2711</v>
      </c>
      <c r="E747" s="3" t="s">
        <v>7464</v>
      </c>
      <c r="F747" s="3" t="s">
        <v>7465</v>
      </c>
    </row>
    <row r="748" spans="1:6" x14ac:dyDescent="0.35">
      <c r="A748" s="5">
        <f t="shared" ca="1" si="11"/>
        <v>45307</v>
      </c>
      <c r="B748" s="3" t="s">
        <v>2712</v>
      </c>
      <c r="C748" s="3" t="s">
        <v>2713</v>
      </c>
      <c r="D748" s="3" t="s">
        <v>2714</v>
      </c>
      <c r="E748" s="3" t="s">
        <v>7466</v>
      </c>
      <c r="F748" s="3" t="s">
        <v>7467</v>
      </c>
    </row>
    <row r="749" spans="1:6" x14ac:dyDescent="0.35">
      <c r="A749" s="5">
        <f t="shared" ca="1" si="11"/>
        <v>45308</v>
      </c>
      <c r="B749" s="3" t="s">
        <v>2715</v>
      </c>
      <c r="C749" s="3" t="s">
        <v>2716</v>
      </c>
      <c r="D749" s="3" t="s">
        <v>2717</v>
      </c>
      <c r="E749" s="3" t="s">
        <v>7468</v>
      </c>
      <c r="F749" s="3" t="s">
        <v>7469</v>
      </c>
    </row>
    <row r="750" spans="1:6" x14ac:dyDescent="0.35">
      <c r="A750" s="5">
        <f t="shared" ca="1" si="11"/>
        <v>45309</v>
      </c>
      <c r="B750" s="3" t="s">
        <v>2718</v>
      </c>
      <c r="C750" s="3" t="s">
        <v>2719</v>
      </c>
      <c r="D750" s="3" t="s">
        <v>2720</v>
      </c>
      <c r="E750" s="3" t="s">
        <v>7470</v>
      </c>
      <c r="F750" s="3" t="s">
        <v>7471</v>
      </c>
    </row>
    <row r="751" spans="1:6" x14ac:dyDescent="0.35">
      <c r="A751" s="5">
        <f t="shared" ca="1" si="11"/>
        <v>45310</v>
      </c>
      <c r="B751" s="3" t="s">
        <v>2721</v>
      </c>
      <c r="C751" s="3" t="s">
        <v>2722</v>
      </c>
      <c r="D751" s="3" t="s">
        <v>2723</v>
      </c>
      <c r="E751" s="3" t="s">
        <v>7472</v>
      </c>
      <c r="F751" s="3" t="s">
        <v>7473</v>
      </c>
    </row>
    <row r="752" spans="1:6" x14ac:dyDescent="0.35">
      <c r="A752" s="5">
        <f t="shared" ca="1" si="11"/>
        <v>45311</v>
      </c>
      <c r="B752" s="3" t="s">
        <v>2724</v>
      </c>
      <c r="C752" s="3" t="s">
        <v>2725</v>
      </c>
      <c r="D752" s="3" t="s">
        <v>2726</v>
      </c>
      <c r="E752" s="3" t="s">
        <v>7474</v>
      </c>
      <c r="F752" s="3" t="s">
        <v>7475</v>
      </c>
    </row>
    <row r="753" spans="1:6" x14ac:dyDescent="0.35">
      <c r="A753" s="5">
        <f t="shared" ca="1" si="11"/>
        <v>45312</v>
      </c>
      <c r="B753" s="3" t="s">
        <v>2727</v>
      </c>
      <c r="C753" s="3" t="s">
        <v>2728</v>
      </c>
      <c r="D753" s="3" t="s">
        <v>2729</v>
      </c>
      <c r="E753" s="3" t="s">
        <v>7476</v>
      </c>
      <c r="F753" s="3" t="s">
        <v>7477</v>
      </c>
    </row>
    <row r="754" spans="1:6" x14ac:dyDescent="0.35">
      <c r="A754" s="5">
        <f t="shared" ca="1" si="11"/>
        <v>45313</v>
      </c>
      <c r="B754" s="3" t="s">
        <v>2730</v>
      </c>
      <c r="C754" s="3" t="s">
        <v>2731</v>
      </c>
      <c r="D754" s="3" t="s">
        <v>2732</v>
      </c>
      <c r="E754" s="3" t="s">
        <v>7478</v>
      </c>
      <c r="F754" s="3" t="s">
        <v>7479</v>
      </c>
    </row>
    <row r="755" spans="1:6" x14ac:dyDescent="0.35">
      <c r="A755" s="5">
        <f t="shared" ca="1" si="11"/>
        <v>45314</v>
      </c>
      <c r="B755" s="3" t="s">
        <v>2733</v>
      </c>
      <c r="C755" s="3" t="s">
        <v>2734</v>
      </c>
      <c r="D755" s="3" t="s">
        <v>2735</v>
      </c>
      <c r="E755" s="3" t="s">
        <v>7480</v>
      </c>
      <c r="F755" s="3" t="s">
        <v>7481</v>
      </c>
    </row>
    <row r="756" spans="1:6" x14ac:dyDescent="0.35">
      <c r="A756" s="5">
        <f t="shared" ca="1" si="11"/>
        <v>45315</v>
      </c>
      <c r="B756" s="3" t="s">
        <v>2736</v>
      </c>
      <c r="C756" s="3" t="s">
        <v>2737</v>
      </c>
      <c r="D756" s="3" t="s">
        <v>2738</v>
      </c>
      <c r="E756" s="3" t="s">
        <v>7482</v>
      </c>
      <c r="F756" s="3" t="s">
        <v>7483</v>
      </c>
    </row>
    <row r="757" spans="1:6" x14ac:dyDescent="0.35">
      <c r="A757" s="5">
        <f t="shared" ca="1" si="11"/>
        <v>45316</v>
      </c>
      <c r="B757" s="3" t="s">
        <v>2739</v>
      </c>
      <c r="C757" s="3" t="s">
        <v>2740</v>
      </c>
      <c r="D757" s="3" t="s">
        <v>2741</v>
      </c>
      <c r="E757" s="3" t="s">
        <v>7484</v>
      </c>
      <c r="F757" s="3" t="s">
        <v>7485</v>
      </c>
    </row>
    <row r="758" spans="1:6" x14ac:dyDescent="0.35">
      <c r="A758" s="5">
        <f t="shared" ca="1" si="11"/>
        <v>45317</v>
      </c>
      <c r="B758" s="3" t="s">
        <v>2742</v>
      </c>
      <c r="C758" s="3" t="s">
        <v>2743</v>
      </c>
      <c r="D758" s="3" t="s">
        <v>2744</v>
      </c>
      <c r="E758" s="3" t="s">
        <v>7486</v>
      </c>
      <c r="F758" s="3" t="s">
        <v>7487</v>
      </c>
    </row>
    <row r="759" spans="1:6" x14ac:dyDescent="0.35">
      <c r="A759" s="5">
        <f t="shared" ca="1" si="11"/>
        <v>45318</v>
      </c>
      <c r="B759" s="3" t="s">
        <v>2745</v>
      </c>
      <c r="C759" s="3" t="s">
        <v>2746</v>
      </c>
      <c r="D759" s="3" t="s">
        <v>2747</v>
      </c>
      <c r="E759" s="3" t="s">
        <v>7488</v>
      </c>
      <c r="F759" s="3" t="s">
        <v>7489</v>
      </c>
    </row>
    <row r="760" spans="1:6" x14ac:dyDescent="0.35">
      <c r="A760" s="5">
        <f t="shared" ca="1" si="11"/>
        <v>45319</v>
      </c>
      <c r="B760" s="3" t="s">
        <v>2748</v>
      </c>
      <c r="C760" s="3" t="s">
        <v>2749</v>
      </c>
      <c r="D760" s="3" t="s">
        <v>2750</v>
      </c>
      <c r="E760" s="3" t="s">
        <v>7490</v>
      </c>
      <c r="F760" s="3" t="s">
        <v>7491</v>
      </c>
    </row>
    <row r="761" spans="1:6" x14ac:dyDescent="0.35">
      <c r="A761" s="5">
        <f t="shared" ca="1" si="11"/>
        <v>45320</v>
      </c>
      <c r="B761" s="3" t="s">
        <v>2751</v>
      </c>
      <c r="C761" s="3" t="s">
        <v>2752</v>
      </c>
      <c r="D761" s="3" t="s">
        <v>2753</v>
      </c>
      <c r="E761" s="3" t="s">
        <v>7492</v>
      </c>
      <c r="F761" s="3" t="s">
        <v>7493</v>
      </c>
    </row>
    <row r="762" spans="1:6" x14ac:dyDescent="0.35">
      <c r="A762" s="5">
        <f t="shared" ca="1" si="11"/>
        <v>45321</v>
      </c>
      <c r="B762" s="3" t="s">
        <v>2754</v>
      </c>
      <c r="C762" s="3" t="s">
        <v>2755</v>
      </c>
      <c r="D762" s="3" t="s">
        <v>2756</v>
      </c>
      <c r="E762" s="3" t="s">
        <v>7494</v>
      </c>
      <c r="F762" s="3" t="s">
        <v>7495</v>
      </c>
    </row>
    <row r="763" spans="1:6" x14ac:dyDescent="0.35">
      <c r="A763" s="5">
        <f t="shared" ca="1" si="11"/>
        <v>45322</v>
      </c>
      <c r="B763" s="3" t="s">
        <v>2757</v>
      </c>
      <c r="C763" s="3" t="s">
        <v>2758</v>
      </c>
      <c r="D763" s="3" t="s">
        <v>2759</v>
      </c>
      <c r="E763" s="3" t="s">
        <v>7496</v>
      </c>
      <c r="F763" s="3" t="s">
        <v>7497</v>
      </c>
    </row>
    <row r="764" spans="1:6" x14ac:dyDescent="0.35">
      <c r="A764" s="5">
        <f t="shared" ca="1" si="11"/>
        <v>45323</v>
      </c>
      <c r="B764" s="3" t="s">
        <v>2760</v>
      </c>
      <c r="C764" s="3" t="s">
        <v>2761</v>
      </c>
      <c r="D764" s="3" t="s">
        <v>2762</v>
      </c>
      <c r="E764" s="3" t="s">
        <v>7498</v>
      </c>
      <c r="F764" s="3" t="s">
        <v>7499</v>
      </c>
    </row>
    <row r="765" spans="1:6" x14ac:dyDescent="0.35">
      <c r="A765" s="5">
        <f t="shared" ca="1" si="11"/>
        <v>45324</v>
      </c>
      <c r="B765" s="3" t="s">
        <v>2763</v>
      </c>
      <c r="C765" s="3" t="s">
        <v>2764</v>
      </c>
      <c r="D765" s="3" t="s">
        <v>2765</v>
      </c>
      <c r="E765" s="3" t="s">
        <v>7500</v>
      </c>
      <c r="F765" s="3" t="s">
        <v>7501</v>
      </c>
    </row>
    <row r="766" spans="1:6" x14ac:dyDescent="0.35">
      <c r="A766" s="5">
        <f t="shared" ca="1" si="11"/>
        <v>45325</v>
      </c>
      <c r="B766" s="3" t="s">
        <v>2766</v>
      </c>
      <c r="C766" s="3" t="s">
        <v>2767</v>
      </c>
      <c r="D766" s="3" t="s">
        <v>2768</v>
      </c>
      <c r="E766" s="3" t="s">
        <v>7502</v>
      </c>
      <c r="F766" s="3" t="s">
        <v>7503</v>
      </c>
    </row>
    <row r="767" spans="1:6" x14ac:dyDescent="0.35">
      <c r="A767" s="5">
        <f t="shared" ca="1" si="11"/>
        <v>45326</v>
      </c>
      <c r="B767" s="3" t="s">
        <v>2769</v>
      </c>
      <c r="C767" s="3" t="s">
        <v>2770</v>
      </c>
      <c r="D767" s="3" t="s">
        <v>2771</v>
      </c>
      <c r="E767" s="3" t="s">
        <v>7504</v>
      </c>
      <c r="F767" s="3" t="s">
        <v>7505</v>
      </c>
    </row>
    <row r="768" spans="1:6" x14ac:dyDescent="0.35">
      <c r="A768" s="5">
        <f t="shared" ca="1" si="11"/>
        <v>45327</v>
      </c>
      <c r="B768" s="3" t="s">
        <v>2772</v>
      </c>
      <c r="C768" s="3" t="s">
        <v>2773</v>
      </c>
      <c r="D768" s="3" t="s">
        <v>2774</v>
      </c>
      <c r="E768" s="3" t="s">
        <v>7506</v>
      </c>
      <c r="F768" s="3" t="s">
        <v>7507</v>
      </c>
    </row>
    <row r="769" spans="1:6" x14ac:dyDescent="0.35">
      <c r="A769" s="5">
        <f t="shared" ca="1" si="11"/>
        <v>45328</v>
      </c>
      <c r="B769" s="3" t="s">
        <v>2775</v>
      </c>
      <c r="C769" s="3" t="s">
        <v>2776</v>
      </c>
      <c r="D769" s="3" t="s">
        <v>2777</v>
      </c>
      <c r="E769" s="3" t="s">
        <v>7508</v>
      </c>
      <c r="F769" s="3" t="s">
        <v>7509</v>
      </c>
    </row>
    <row r="770" spans="1:6" x14ac:dyDescent="0.35">
      <c r="A770" s="5">
        <f t="shared" ca="1" si="11"/>
        <v>45329</v>
      </c>
      <c r="B770" s="3" t="s">
        <v>2778</v>
      </c>
      <c r="C770" s="3" t="s">
        <v>2779</v>
      </c>
      <c r="D770" s="3" t="s">
        <v>2780</v>
      </c>
      <c r="E770" s="3" t="s">
        <v>7510</v>
      </c>
      <c r="F770" s="3" t="s">
        <v>7511</v>
      </c>
    </row>
    <row r="771" spans="1:6" x14ac:dyDescent="0.35">
      <c r="A771" s="5">
        <f t="shared" ca="1" si="11"/>
        <v>45330</v>
      </c>
      <c r="B771" s="3" t="s">
        <v>2781</v>
      </c>
      <c r="C771" s="3" t="s">
        <v>2782</v>
      </c>
      <c r="D771" s="3" t="s">
        <v>2783</v>
      </c>
      <c r="E771" s="3" t="s">
        <v>7512</v>
      </c>
      <c r="F771" s="3" t="s">
        <v>7513</v>
      </c>
    </row>
    <row r="772" spans="1:6" x14ac:dyDescent="0.35">
      <c r="A772" s="5">
        <f t="shared" ca="1" si="11"/>
        <v>45331</v>
      </c>
      <c r="B772" s="3" t="s">
        <v>2784</v>
      </c>
      <c r="C772" s="3" t="s">
        <v>2785</v>
      </c>
      <c r="D772" s="3" t="s">
        <v>2786</v>
      </c>
      <c r="E772" s="3" t="s">
        <v>7514</v>
      </c>
      <c r="F772" s="3" t="s">
        <v>7515</v>
      </c>
    </row>
    <row r="773" spans="1:6" x14ac:dyDescent="0.35">
      <c r="A773" s="5">
        <f t="shared" ref="A773:A836" ca="1" si="12">A772+1</f>
        <v>45332</v>
      </c>
      <c r="B773" s="3" t="s">
        <v>2787</v>
      </c>
      <c r="C773" s="3" t="s">
        <v>2788</v>
      </c>
      <c r="D773" s="3" t="s">
        <v>2789</v>
      </c>
      <c r="E773" s="3" t="s">
        <v>7516</v>
      </c>
      <c r="F773" s="3" t="s">
        <v>7517</v>
      </c>
    </row>
    <row r="774" spans="1:6" x14ac:dyDescent="0.35">
      <c r="A774" s="5">
        <f t="shared" ca="1" si="12"/>
        <v>45333</v>
      </c>
      <c r="B774" s="3" t="s">
        <v>2790</v>
      </c>
      <c r="C774" s="3" t="s">
        <v>2791</v>
      </c>
      <c r="D774" s="3" t="s">
        <v>2792</v>
      </c>
      <c r="E774" s="3" t="s">
        <v>7518</v>
      </c>
      <c r="F774" s="3" t="s">
        <v>7519</v>
      </c>
    </row>
    <row r="775" spans="1:6" x14ac:dyDescent="0.35">
      <c r="A775" s="5">
        <f t="shared" ca="1" si="12"/>
        <v>45334</v>
      </c>
      <c r="B775" s="3" t="s">
        <v>2793</v>
      </c>
      <c r="C775" s="3" t="s">
        <v>2794</v>
      </c>
      <c r="D775" s="3" t="s">
        <v>2795</v>
      </c>
      <c r="E775" s="3" t="s">
        <v>7520</v>
      </c>
      <c r="F775" s="3" t="s">
        <v>7521</v>
      </c>
    </row>
    <row r="776" spans="1:6" x14ac:dyDescent="0.35">
      <c r="A776" s="5">
        <f t="shared" ca="1" si="12"/>
        <v>45335</v>
      </c>
      <c r="B776" s="3" t="s">
        <v>2796</v>
      </c>
      <c r="C776" s="3" t="s">
        <v>2797</v>
      </c>
      <c r="D776" s="3" t="s">
        <v>2798</v>
      </c>
      <c r="E776" s="3" t="s">
        <v>7522</v>
      </c>
      <c r="F776" s="3" t="s">
        <v>7523</v>
      </c>
    </row>
    <row r="777" spans="1:6" x14ac:dyDescent="0.35">
      <c r="A777" s="5">
        <f t="shared" ca="1" si="12"/>
        <v>45336</v>
      </c>
      <c r="B777" s="3" t="s">
        <v>2799</v>
      </c>
      <c r="C777" s="3" t="s">
        <v>2800</v>
      </c>
      <c r="D777" s="3" t="s">
        <v>2801</v>
      </c>
      <c r="E777" s="3" t="s">
        <v>7524</v>
      </c>
      <c r="F777" s="3" t="s">
        <v>7525</v>
      </c>
    </row>
    <row r="778" spans="1:6" x14ac:dyDescent="0.35">
      <c r="A778" s="5">
        <f t="shared" ca="1" si="12"/>
        <v>45337</v>
      </c>
      <c r="B778" s="3" t="s">
        <v>2802</v>
      </c>
      <c r="C778" s="3" t="s">
        <v>2803</v>
      </c>
      <c r="D778" s="3" t="s">
        <v>2804</v>
      </c>
      <c r="E778" s="3" t="s">
        <v>7526</v>
      </c>
      <c r="F778" s="3" t="s">
        <v>7527</v>
      </c>
    </row>
    <row r="779" spans="1:6" x14ac:dyDescent="0.35">
      <c r="A779" s="5">
        <f t="shared" ca="1" si="12"/>
        <v>45338</v>
      </c>
      <c r="B779" s="3" t="s">
        <v>2805</v>
      </c>
      <c r="C779" s="3" t="s">
        <v>2806</v>
      </c>
      <c r="D779" s="3" t="s">
        <v>2807</v>
      </c>
      <c r="E779" s="3" t="s">
        <v>7528</v>
      </c>
      <c r="F779" s="3" t="s">
        <v>7529</v>
      </c>
    </row>
    <row r="780" spans="1:6" x14ac:dyDescent="0.35">
      <c r="A780" s="5">
        <f t="shared" ca="1" si="12"/>
        <v>45339</v>
      </c>
      <c r="B780" s="3" t="s">
        <v>2808</v>
      </c>
      <c r="C780" s="3" t="s">
        <v>2809</v>
      </c>
      <c r="D780" s="3" t="s">
        <v>2810</v>
      </c>
      <c r="E780" s="3" t="s">
        <v>7530</v>
      </c>
      <c r="F780" s="3" t="s">
        <v>7531</v>
      </c>
    </row>
    <row r="781" spans="1:6" x14ac:dyDescent="0.35">
      <c r="A781" s="5">
        <f t="shared" ca="1" si="12"/>
        <v>45340</v>
      </c>
      <c r="B781" s="3" t="s">
        <v>2811</v>
      </c>
      <c r="C781" s="3" t="s">
        <v>2812</v>
      </c>
      <c r="D781" s="3" t="s">
        <v>2813</v>
      </c>
      <c r="E781" s="3" t="s">
        <v>7532</v>
      </c>
      <c r="F781" s="3" t="s">
        <v>7533</v>
      </c>
    </row>
    <row r="782" spans="1:6" x14ac:dyDescent="0.35">
      <c r="A782" s="5">
        <f t="shared" ca="1" si="12"/>
        <v>45341</v>
      </c>
      <c r="B782" s="3" t="s">
        <v>2814</v>
      </c>
      <c r="C782" s="3" t="s">
        <v>2815</v>
      </c>
      <c r="D782" s="3" t="s">
        <v>2816</v>
      </c>
      <c r="E782" s="3" t="s">
        <v>7534</v>
      </c>
      <c r="F782" s="3" t="s">
        <v>7535</v>
      </c>
    </row>
    <row r="783" spans="1:6" x14ac:dyDescent="0.35">
      <c r="A783" s="5">
        <f t="shared" ca="1" si="12"/>
        <v>45342</v>
      </c>
      <c r="B783" s="3" t="s">
        <v>2817</v>
      </c>
      <c r="C783" s="3" t="s">
        <v>2818</v>
      </c>
      <c r="D783" s="3" t="s">
        <v>2819</v>
      </c>
      <c r="E783" s="3" t="s">
        <v>7536</v>
      </c>
      <c r="F783" s="3" t="s">
        <v>7537</v>
      </c>
    </row>
    <row r="784" spans="1:6" x14ac:dyDescent="0.35">
      <c r="A784" s="5">
        <f t="shared" ca="1" si="12"/>
        <v>45343</v>
      </c>
      <c r="B784" s="3" t="s">
        <v>2820</v>
      </c>
      <c r="C784" s="3" t="s">
        <v>2821</v>
      </c>
      <c r="D784" s="3" t="s">
        <v>2822</v>
      </c>
      <c r="E784" s="3" t="s">
        <v>7538</v>
      </c>
      <c r="F784" s="3" t="s">
        <v>7539</v>
      </c>
    </row>
    <row r="785" spans="1:6" x14ac:dyDescent="0.35">
      <c r="A785" s="5">
        <f t="shared" ca="1" si="12"/>
        <v>45344</v>
      </c>
      <c r="B785" s="3" t="s">
        <v>2823</v>
      </c>
      <c r="C785" s="3" t="s">
        <v>2824</v>
      </c>
      <c r="D785" s="3" t="s">
        <v>2825</v>
      </c>
      <c r="E785" s="3" t="s">
        <v>7540</v>
      </c>
      <c r="F785" s="3" t="s">
        <v>7541</v>
      </c>
    </row>
    <row r="786" spans="1:6" x14ac:dyDescent="0.35">
      <c r="A786" s="5">
        <f t="shared" ca="1" si="12"/>
        <v>45345</v>
      </c>
      <c r="B786" s="3" t="s">
        <v>2826</v>
      </c>
      <c r="C786" s="3" t="s">
        <v>2827</v>
      </c>
      <c r="D786" s="3" t="s">
        <v>2828</v>
      </c>
      <c r="E786" s="3" t="s">
        <v>7542</v>
      </c>
      <c r="F786" s="3" t="s">
        <v>7543</v>
      </c>
    </row>
    <row r="787" spans="1:6" x14ac:dyDescent="0.35">
      <c r="A787" s="5">
        <f t="shared" ca="1" si="12"/>
        <v>45346</v>
      </c>
      <c r="B787" s="3" t="s">
        <v>2829</v>
      </c>
      <c r="C787" s="3" t="s">
        <v>2830</v>
      </c>
      <c r="D787" s="3" t="s">
        <v>2831</v>
      </c>
      <c r="E787" s="3" t="s">
        <v>7544</v>
      </c>
      <c r="F787" s="3" t="s">
        <v>7545</v>
      </c>
    </row>
    <row r="788" spans="1:6" x14ac:dyDescent="0.35">
      <c r="A788" s="5">
        <f t="shared" ca="1" si="12"/>
        <v>45347</v>
      </c>
      <c r="B788" s="3" t="s">
        <v>2832</v>
      </c>
      <c r="C788" s="3" t="s">
        <v>2833</v>
      </c>
      <c r="D788" s="3" t="s">
        <v>2834</v>
      </c>
      <c r="E788" s="3" t="s">
        <v>7546</v>
      </c>
      <c r="F788" s="3" t="s">
        <v>7547</v>
      </c>
    </row>
    <row r="789" spans="1:6" x14ac:dyDescent="0.35">
      <c r="A789" s="5">
        <f t="shared" ca="1" si="12"/>
        <v>45348</v>
      </c>
      <c r="B789" s="3" t="s">
        <v>2835</v>
      </c>
      <c r="C789" s="3" t="s">
        <v>2836</v>
      </c>
      <c r="D789" s="3" t="s">
        <v>2837</v>
      </c>
      <c r="E789" s="3" t="s">
        <v>7548</v>
      </c>
      <c r="F789" s="3" t="s">
        <v>7549</v>
      </c>
    </row>
    <row r="790" spans="1:6" x14ac:dyDescent="0.35">
      <c r="A790" s="5">
        <f t="shared" ca="1" si="12"/>
        <v>45349</v>
      </c>
      <c r="B790" s="3" t="s">
        <v>2838</v>
      </c>
      <c r="C790" s="3" t="s">
        <v>2839</v>
      </c>
      <c r="D790" s="3" t="s">
        <v>2840</v>
      </c>
      <c r="E790" s="3" t="s">
        <v>7550</v>
      </c>
      <c r="F790" s="3" t="s">
        <v>7551</v>
      </c>
    </row>
    <row r="791" spans="1:6" x14ac:dyDescent="0.35">
      <c r="A791" s="5">
        <f t="shared" ca="1" si="12"/>
        <v>45350</v>
      </c>
      <c r="B791" s="3" t="s">
        <v>2841</v>
      </c>
      <c r="C791" s="3" t="s">
        <v>2842</v>
      </c>
      <c r="D791" s="3" t="s">
        <v>2843</v>
      </c>
      <c r="E791" s="3" t="s">
        <v>7552</v>
      </c>
      <c r="F791" s="3" t="s">
        <v>7553</v>
      </c>
    </row>
    <row r="792" spans="1:6" x14ac:dyDescent="0.35">
      <c r="A792" s="5">
        <f t="shared" ca="1" si="12"/>
        <v>45351</v>
      </c>
      <c r="B792" s="3" t="s">
        <v>2844</v>
      </c>
      <c r="C792" s="3" t="s">
        <v>2845</v>
      </c>
      <c r="D792" s="3" t="s">
        <v>2846</v>
      </c>
      <c r="E792" s="3" t="s">
        <v>7554</v>
      </c>
      <c r="F792" s="3" t="s">
        <v>7555</v>
      </c>
    </row>
    <row r="793" spans="1:6" x14ac:dyDescent="0.35">
      <c r="A793" s="5">
        <f t="shared" ca="1" si="12"/>
        <v>45352</v>
      </c>
      <c r="B793" s="3" t="s">
        <v>2847</v>
      </c>
      <c r="C793" s="3" t="s">
        <v>2848</v>
      </c>
      <c r="D793" s="3" t="s">
        <v>2849</v>
      </c>
      <c r="E793" s="3" t="s">
        <v>7556</v>
      </c>
      <c r="F793" s="3" t="s">
        <v>7557</v>
      </c>
    </row>
    <row r="794" spans="1:6" x14ac:dyDescent="0.35">
      <c r="A794" s="5">
        <f t="shared" ca="1" si="12"/>
        <v>45353</v>
      </c>
      <c r="B794" s="3" t="s">
        <v>2850</v>
      </c>
      <c r="C794" s="3" t="s">
        <v>2851</v>
      </c>
      <c r="D794" s="3" t="s">
        <v>2852</v>
      </c>
      <c r="E794" s="3" t="s">
        <v>7558</v>
      </c>
      <c r="F794" s="3" t="s">
        <v>7559</v>
      </c>
    </row>
    <row r="795" spans="1:6" x14ac:dyDescent="0.35">
      <c r="A795" s="5">
        <f t="shared" ca="1" si="12"/>
        <v>45354</v>
      </c>
      <c r="B795" s="3" t="s">
        <v>2853</v>
      </c>
      <c r="C795" s="3" t="s">
        <v>2854</v>
      </c>
      <c r="D795" s="3" t="s">
        <v>2855</v>
      </c>
      <c r="E795" s="3" t="s">
        <v>7560</v>
      </c>
      <c r="F795" s="3" t="s">
        <v>7561</v>
      </c>
    </row>
    <row r="796" spans="1:6" x14ac:dyDescent="0.35">
      <c r="A796" s="5">
        <f t="shared" ca="1" si="12"/>
        <v>45355</v>
      </c>
      <c r="B796" s="3" t="s">
        <v>2856</v>
      </c>
      <c r="C796" s="3" t="s">
        <v>2857</v>
      </c>
      <c r="D796" s="3" t="s">
        <v>2858</v>
      </c>
      <c r="E796" s="3" t="s">
        <v>7562</v>
      </c>
      <c r="F796" s="3" t="s">
        <v>7563</v>
      </c>
    </row>
    <row r="797" spans="1:6" x14ac:dyDescent="0.35">
      <c r="A797" s="5">
        <f t="shared" ca="1" si="12"/>
        <v>45356</v>
      </c>
      <c r="B797" s="3" t="s">
        <v>2859</v>
      </c>
      <c r="C797" s="3" t="s">
        <v>2860</v>
      </c>
      <c r="D797" s="3" t="s">
        <v>2861</v>
      </c>
      <c r="E797" s="3" t="s">
        <v>7564</v>
      </c>
      <c r="F797" s="3" t="s">
        <v>7565</v>
      </c>
    </row>
    <row r="798" spans="1:6" x14ac:dyDescent="0.35">
      <c r="A798" s="5">
        <f t="shared" ca="1" si="12"/>
        <v>45357</v>
      </c>
      <c r="B798" s="3" t="s">
        <v>2862</v>
      </c>
      <c r="C798" s="3" t="s">
        <v>2863</v>
      </c>
      <c r="D798" s="3" t="s">
        <v>2864</v>
      </c>
      <c r="E798" s="3" t="s">
        <v>7566</v>
      </c>
      <c r="F798" s="3" t="s">
        <v>7567</v>
      </c>
    </row>
    <row r="799" spans="1:6" x14ac:dyDescent="0.35">
      <c r="A799" s="5">
        <f t="shared" ca="1" si="12"/>
        <v>45358</v>
      </c>
      <c r="B799" s="3" t="s">
        <v>2865</v>
      </c>
      <c r="C799" s="3" t="s">
        <v>2866</v>
      </c>
      <c r="D799" s="3" t="s">
        <v>2867</v>
      </c>
      <c r="E799" s="3" t="s">
        <v>7568</v>
      </c>
      <c r="F799" s="3" t="s">
        <v>7569</v>
      </c>
    </row>
    <row r="800" spans="1:6" x14ac:dyDescent="0.35">
      <c r="A800" s="5">
        <f t="shared" ca="1" si="12"/>
        <v>45359</v>
      </c>
      <c r="B800" s="3" t="s">
        <v>2868</v>
      </c>
      <c r="C800" s="3" t="s">
        <v>2869</v>
      </c>
      <c r="D800" s="3" t="s">
        <v>2870</v>
      </c>
      <c r="E800" s="3" t="s">
        <v>7570</v>
      </c>
      <c r="F800" s="3" t="s">
        <v>7571</v>
      </c>
    </row>
    <row r="801" spans="1:6" x14ac:dyDescent="0.35">
      <c r="A801" s="5">
        <f t="shared" ca="1" si="12"/>
        <v>45360</v>
      </c>
      <c r="B801" s="3" t="s">
        <v>2871</v>
      </c>
      <c r="C801" s="3" t="s">
        <v>2872</v>
      </c>
      <c r="D801" s="3" t="s">
        <v>2873</v>
      </c>
      <c r="E801" s="3" t="s">
        <v>7572</v>
      </c>
      <c r="F801" s="3" t="s">
        <v>7573</v>
      </c>
    </row>
    <row r="802" spans="1:6" x14ac:dyDescent="0.35">
      <c r="A802" s="5">
        <f t="shared" ca="1" si="12"/>
        <v>45361</v>
      </c>
      <c r="B802" s="3" t="s">
        <v>2874</v>
      </c>
      <c r="C802" s="3" t="s">
        <v>2875</v>
      </c>
      <c r="D802" s="3" t="s">
        <v>2876</v>
      </c>
      <c r="E802" s="3" t="s">
        <v>7574</v>
      </c>
      <c r="F802" s="3" t="s">
        <v>7575</v>
      </c>
    </row>
    <row r="803" spans="1:6" x14ac:dyDescent="0.35">
      <c r="A803" s="5">
        <f t="shared" ca="1" si="12"/>
        <v>45362</v>
      </c>
      <c r="B803" s="3" t="s">
        <v>2877</v>
      </c>
      <c r="C803" s="3" t="s">
        <v>2878</v>
      </c>
      <c r="D803" s="3" t="s">
        <v>2879</v>
      </c>
      <c r="E803" s="3" t="s">
        <v>7576</v>
      </c>
      <c r="F803" s="3" t="s">
        <v>7577</v>
      </c>
    </row>
    <row r="804" spans="1:6" x14ac:dyDescent="0.35">
      <c r="A804" s="5">
        <f t="shared" ca="1" si="12"/>
        <v>45363</v>
      </c>
      <c r="B804" s="3" t="s">
        <v>2880</v>
      </c>
      <c r="C804" s="3" t="s">
        <v>2881</v>
      </c>
      <c r="D804" s="3" t="s">
        <v>2882</v>
      </c>
      <c r="E804" s="3" t="s">
        <v>7578</v>
      </c>
      <c r="F804" s="3" t="s">
        <v>7579</v>
      </c>
    </row>
    <row r="805" spans="1:6" x14ac:dyDescent="0.35">
      <c r="A805" s="5">
        <f t="shared" ca="1" si="12"/>
        <v>45364</v>
      </c>
      <c r="B805" s="3" t="s">
        <v>2883</v>
      </c>
      <c r="C805" s="3" t="s">
        <v>2884</v>
      </c>
      <c r="D805" s="3" t="s">
        <v>2885</v>
      </c>
      <c r="E805" s="3" t="s">
        <v>7580</v>
      </c>
      <c r="F805" s="3" t="s">
        <v>7581</v>
      </c>
    </row>
    <row r="806" spans="1:6" x14ac:dyDescent="0.35">
      <c r="A806" s="5">
        <f t="shared" ca="1" si="12"/>
        <v>45365</v>
      </c>
      <c r="B806" s="3" t="s">
        <v>2886</v>
      </c>
      <c r="C806" s="3" t="s">
        <v>2887</v>
      </c>
      <c r="D806" s="3" t="s">
        <v>2888</v>
      </c>
      <c r="E806" s="3" t="s">
        <v>7582</v>
      </c>
      <c r="F806" s="3" t="s">
        <v>7583</v>
      </c>
    </row>
    <row r="807" spans="1:6" x14ac:dyDescent="0.35">
      <c r="A807" s="5">
        <f t="shared" ca="1" si="12"/>
        <v>45366</v>
      </c>
      <c r="B807" s="3" t="s">
        <v>2889</v>
      </c>
      <c r="C807" s="3" t="s">
        <v>2890</v>
      </c>
      <c r="D807" s="3" t="s">
        <v>2891</v>
      </c>
      <c r="E807" s="3" t="s">
        <v>7584</v>
      </c>
      <c r="F807" s="3" t="s">
        <v>7585</v>
      </c>
    </row>
    <row r="808" spans="1:6" x14ac:dyDescent="0.35">
      <c r="A808" s="5">
        <f t="shared" ca="1" si="12"/>
        <v>45367</v>
      </c>
      <c r="B808" s="3" t="s">
        <v>2892</v>
      </c>
      <c r="C808" s="3" t="s">
        <v>2893</v>
      </c>
      <c r="D808" s="3" t="s">
        <v>2894</v>
      </c>
      <c r="E808" s="3" t="s">
        <v>7586</v>
      </c>
      <c r="F808" s="3" t="s">
        <v>7587</v>
      </c>
    </row>
    <row r="809" spans="1:6" x14ac:dyDescent="0.35">
      <c r="A809" s="5">
        <f t="shared" ca="1" si="12"/>
        <v>45368</v>
      </c>
      <c r="B809" s="3" t="s">
        <v>2895</v>
      </c>
      <c r="C809" s="3" t="s">
        <v>2896</v>
      </c>
      <c r="D809" s="3" t="s">
        <v>2897</v>
      </c>
      <c r="E809" s="3" t="s">
        <v>7588</v>
      </c>
      <c r="F809" s="3" t="s">
        <v>7589</v>
      </c>
    </row>
    <row r="810" spans="1:6" x14ac:dyDescent="0.35">
      <c r="A810" s="5">
        <f t="shared" ca="1" si="12"/>
        <v>45369</v>
      </c>
      <c r="B810" s="3" t="s">
        <v>2898</v>
      </c>
      <c r="C810" s="3" t="s">
        <v>2899</v>
      </c>
      <c r="D810" s="3" t="s">
        <v>2900</v>
      </c>
      <c r="E810" s="3" t="s">
        <v>7590</v>
      </c>
      <c r="F810" s="3" t="s">
        <v>7591</v>
      </c>
    </row>
    <row r="811" spans="1:6" x14ac:dyDescent="0.35">
      <c r="A811" s="5">
        <f t="shared" ca="1" si="12"/>
        <v>45370</v>
      </c>
      <c r="B811" s="3" t="s">
        <v>2901</v>
      </c>
      <c r="C811" s="3" t="s">
        <v>2902</v>
      </c>
      <c r="D811" s="3" t="s">
        <v>2903</v>
      </c>
      <c r="E811" s="3" t="s">
        <v>7592</v>
      </c>
      <c r="F811" s="3" t="s">
        <v>7593</v>
      </c>
    </row>
    <row r="812" spans="1:6" x14ac:dyDescent="0.35">
      <c r="A812" s="5">
        <f t="shared" ca="1" si="12"/>
        <v>45371</v>
      </c>
      <c r="B812" s="3" t="s">
        <v>2904</v>
      </c>
      <c r="C812" s="3" t="s">
        <v>2905</v>
      </c>
      <c r="D812" s="3" t="s">
        <v>2906</v>
      </c>
      <c r="E812" s="3" t="s">
        <v>7594</v>
      </c>
      <c r="F812" s="3" t="s">
        <v>7595</v>
      </c>
    </row>
    <row r="813" spans="1:6" x14ac:dyDescent="0.35">
      <c r="A813" s="5">
        <f t="shared" ca="1" si="12"/>
        <v>45372</v>
      </c>
      <c r="B813" s="3" t="s">
        <v>2907</v>
      </c>
      <c r="C813" s="3" t="s">
        <v>2908</v>
      </c>
      <c r="D813" s="3" t="s">
        <v>2909</v>
      </c>
      <c r="E813" s="3" t="s">
        <v>7596</v>
      </c>
      <c r="F813" s="3" t="s">
        <v>7597</v>
      </c>
    </row>
    <row r="814" spans="1:6" x14ac:dyDescent="0.35">
      <c r="A814" s="5">
        <f t="shared" ca="1" si="12"/>
        <v>45373</v>
      </c>
      <c r="B814" s="3" t="s">
        <v>2910</v>
      </c>
      <c r="C814" s="3" t="s">
        <v>2911</v>
      </c>
      <c r="D814" s="3" t="s">
        <v>2912</v>
      </c>
      <c r="E814" s="3" t="s">
        <v>7598</v>
      </c>
      <c r="F814" s="3" t="s">
        <v>7599</v>
      </c>
    </row>
    <row r="815" spans="1:6" x14ac:dyDescent="0.35">
      <c r="A815" s="5">
        <f t="shared" ca="1" si="12"/>
        <v>45374</v>
      </c>
      <c r="B815" s="3" t="s">
        <v>2913</v>
      </c>
      <c r="C815" s="3" t="s">
        <v>2914</v>
      </c>
      <c r="D815" s="3" t="s">
        <v>2915</v>
      </c>
      <c r="E815" s="3" t="s">
        <v>7600</v>
      </c>
      <c r="F815" s="3" t="s">
        <v>7601</v>
      </c>
    </row>
    <row r="816" spans="1:6" x14ac:dyDescent="0.35">
      <c r="A816" s="5">
        <f t="shared" ca="1" si="12"/>
        <v>45375</v>
      </c>
      <c r="B816" s="3" t="s">
        <v>2916</v>
      </c>
      <c r="C816" s="3" t="s">
        <v>2917</v>
      </c>
      <c r="D816" s="3" t="s">
        <v>2918</v>
      </c>
      <c r="E816" s="3" t="s">
        <v>7602</v>
      </c>
      <c r="F816" s="3" t="s">
        <v>7603</v>
      </c>
    </row>
    <row r="817" spans="1:6" x14ac:dyDescent="0.35">
      <c r="A817" s="5">
        <f t="shared" ca="1" si="12"/>
        <v>45376</v>
      </c>
      <c r="B817" s="3" t="s">
        <v>2919</v>
      </c>
      <c r="C817" s="3" t="s">
        <v>2920</v>
      </c>
      <c r="D817" s="3" t="s">
        <v>2921</v>
      </c>
      <c r="E817" s="3" t="s">
        <v>7604</v>
      </c>
      <c r="F817" s="3" t="s">
        <v>7605</v>
      </c>
    </row>
    <row r="818" spans="1:6" x14ac:dyDescent="0.35">
      <c r="A818" s="5">
        <f t="shared" ca="1" si="12"/>
        <v>45377</v>
      </c>
      <c r="B818" s="3" t="s">
        <v>2922</v>
      </c>
      <c r="C818" s="3" t="s">
        <v>2923</v>
      </c>
      <c r="D818" s="3" t="s">
        <v>2924</v>
      </c>
      <c r="E818" s="3" t="s">
        <v>7606</v>
      </c>
      <c r="F818" s="3" t="s">
        <v>7607</v>
      </c>
    </row>
    <row r="819" spans="1:6" x14ac:dyDescent="0.35">
      <c r="A819" s="5">
        <f t="shared" ca="1" si="12"/>
        <v>45378</v>
      </c>
      <c r="B819" s="3" t="s">
        <v>2925</v>
      </c>
      <c r="C819" s="3" t="s">
        <v>2926</v>
      </c>
      <c r="D819" s="3" t="s">
        <v>2927</v>
      </c>
      <c r="E819" s="3" t="s">
        <v>7608</v>
      </c>
      <c r="F819" s="3" t="s">
        <v>7609</v>
      </c>
    </row>
    <row r="820" spans="1:6" x14ac:dyDescent="0.35">
      <c r="A820" s="5">
        <f t="shared" ca="1" si="12"/>
        <v>45379</v>
      </c>
      <c r="B820" s="3" t="s">
        <v>2928</v>
      </c>
      <c r="C820" s="3" t="s">
        <v>2929</v>
      </c>
      <c r="D820" s="3" t="s">
        <v>2930</v>
      </c>
      <c r="E820" s="3" t="s">
        <v>7610</v>
      </c>
      <c r="F820" s="3" t="s">
        <v>7611</v>
      </c>
    </row>
    <row r="821" spans="1:6" x14ac:dyDescent="0.35">
      <c r="A821" s="5">
        <f t="shared" ca="1" si="12"/>
        <v>45380</v>
      </c>
      <c r="B821" s="3" t="s">
        <v>2931</v>
      </c>
      <c r="C821" s="3" t="s">
        <v>2932</v>
      </c>
      <c r="D821" s="3" t="s">
        <v>2933</v>
      </c>
      <c r="E821" s="3" t="s">
        <v>7612</v>
      </c>
      <c r="F821" s="3" t="s">
        <v>7613</v>
      </c>
    </row>
    <row r="822" spans="1:6" x14ac:dyDescent="0.35">
      <c r="A822" s="5">
        <f t="shared" ca="1" si="12"/>
        <v>45381</v>
      </c>
      <c r="B822" s="3" t="s">
        <v>2934</v>
      </c>
      <c r="C822" s="3" t="s">
        <v>2935</v>
      </c>
      <c r="D822" s="3" t="s">
        <v>2936</v>
      </c>
      <c r="E822" s="3" t="s">
        <v>7614</v>
      </c>
      <c r="F822" s="3" t="s">
        <v>7615</v>
      </c>
    </row>
    <row r="823" spans="1:6" x14ac:dyDescent="0.35">
      <c r="A823" s="5">
        <f t="shared" ca="1" si="12"/>
        <v>45382</v>
      </c>
      <c r="B823" s="3" t="s">
        <v>2937</v>
      </c>
      <c r="C823" s="3" t="s">
        <v>2938</v>
      </c>
      <c r="D823" s="3" t="s">
        <v>2939</v>
      </c>
      <c r="E823" s="3" t="s">
        <v>7616</v>
      </c>
      <c r="F823" s="3" t="s">
        <v>7617</v>
      </c>
    </row>
    <row r="824" spans="1:6" x14ac:dyDescent="0.35">
      <c r="A824" s="5">
        <f t="shared" ca="1" si="12"/>
        <v>45383</v>
      </c>
      <c r="B824" s="3" t="s">
        <v>2940</v>
      </c>
      <c r="C824" s="3" t="s">
        <v>2941</v>
      </c>
      <c r="D824" s="3" t="s">
        <v>2942</v>
      </c>
      <c r="E824" s="3" t="s">
        <v>7618</v>
      </c>
      <c r="F824" s="3" t="s">
        <v>7619</v>
      </c>
    </row>
    <row r="825" spans="1:6" x14ac:dyDescent="0.35">
      <c r="A825" s="5">
        <f t="shared" ca="1" si="12"/>
        <v>45384</v>
      </c>
      <c r="B825" s="3" t="s">
        <v>2943</v>
      </c>
      <c r="C825" s="3" t="s">
        <v>2944</v>
      </c>
      <c r="D825" s="3" t="s">
        <v>2945</v>
      </c>
      <c r="E825" s="3" t="s">
        <v>7620</v>
      </c>
      <c r="F825" s="3" t="s">
        <v>7621</v>
      </c>
    </row>
    <row r="826" spans="1:6" x14ac:dyDescent="0.35">
      <c r="A826" s="5">
        <f t="shared" ca="1" si="12"/>
        <v>45385</v>
      </c>
      <c r="B826" s="3" t="s">
        <v>2946</v>
      </c>
      <c r="C826" s="3" t="s">
        <v>2947</v>
      </c>
      <c r="D826" s="3" t="s">
        <v>2948</v>
      </c>
      <c r="E826" s="3" t="s">
        <v>7622</v>
      </c>
      <c r="F826" s="3" t="s">
        <v>7623</v>
      </c>
    </row>
    <row r="827" spans="1:6" x14ac:dyDescent="0.35">
      <c r="A827" s="5">
        <f t="shared" ca="1" si="12"/>
        <v>45386</v>
      </c>
      <c r="B827" s="3" t="s">
        <v>2949</v>
      </c>
      <c r="C827" s="3" t="s">
        <v>2950</v>
      </c>
      <c r="D827" s="3" t="s">
        <v>2951</v>
      </c>
      <c r="E827" s="3" t="s">
        <v>7624</v>
      </c>
      <c r="F827" s="3" t="s">
        <v>7625</v>
      </c>
    </row>
    <row r="828" spans="1:6" x14ac:dyDescent="0.35">
      <c r="A828" s="5">
        <f t="shared" ca="1" si="12"/>
        <v>45387</v>
      </c>
      <c r="B828" s="3" t="s">
        <v>2952</v>
      </c>
      <c r="C828" s="3" t="s">
        <v>2953</v>
      </c>
      <c r="D828" s="3" t="s">
        <v>2954</v>
      </c>
      <c r="E828" s="3" t="s">
        <v>7626</v>
      </c>
      <c r="F828" s="3" t="s">
        <v>7627</v>
      </c>
    </row>
    <row r="829" spans="1:6" x14ac:dyDescent="0.35">
      <c r="A829" s="5">
        <f t="shared" ca="1" si="12"/>
        <v>45388</v>
      </c>
      <c r="B829" s="3" t="s">
        <v>2955</v>
      </c>
      <c r="C829" s="3" t="s">
        <v>2956</v>
      </c>
      <c r="D829" s="3" t="s">
        <v>2957</v>
      </c>
      <c r="E829" s="3" t="s">
        <v>7628</v>
      </c>
      <c r="F829" s="3" t="s">
        <v>7629</v>
      </c>
    </row>
    <row r="830" spans="1:6" x14ac:dyDescent="0.35">
      <c r="A830" s="5">
        <f t="shared" ca="1" si="12"/>
        <v>45389</v>
      </c>
      <c r="B830" s="3" t="s">
        <v>2958</v>
      </c>
      <c r="C830" s="3" t="s">
        <v>2959</v>
      </c>
      <c r="D830" s="3" t="s">
        <v>2960</v>
      </c>
      <c r="E830" s="3" t="s">
        <v>7630</v>
      </c>
      <c r="F830" s="3" t="s">
        <v>7631</v>
      </c>
    </row>
    <row r="831" spans="1:6" x14ac:dyDescent="0.35">
      <c r="A831" s="5">
        <f t="shared" ca="1" si="12"/>
        <v>45390</v>
      </c>
      <c r="B831" s="3" t="s">
        <v>2961</v>
      </c>
      <c r="C831" s="3" t="s">
        <v>2962</v>
      </c>
      <c r="D831" s="3" t="s">
        <v>2963</v>
      </c>
      <c r="E831" s="3" t="s">
        <v>7632</v>
      </c>
      <c r="F831" s="3" t="s">
        <v>7633</v>
      </c>
    </row>
    <row r="832" spans="1:6" x14ac:dyDescent="0.35">
      <c r="A832" s="5">
        <f t="shared" ca="1" si="12"/>
        <v>45391</v>
      </c>
      <c r="B832" s="3" t="s">
        <v>2964</v>
      </c>
      <c r="C832" s="3" t="s">
        <v>2965</v>
      </c>
      <c r="D832" s="3" t="s">
        <v>2966</v>
      </c>
      <c r="E832" s="3" t="s">
        <v>7634</v>
      </c>
      <c r="F832" s="3" t="s">
        <v>7635</v>
      </c>
    </row>
    <row r="833" spans="1:6" x14ac:dyDescent="0.35">
      <c r="A833" s="5">
        <f t="shared" ca="1" si="12"/>
        <v>45392</v>
      </c>
      <c r="B833" s="3" t="s">
        <v>2967</v>
      </c>
      <c r="C833" s="3" t="s">
        <v>2968</v>
      </c>
      <c r="D833" s="3" t="s">
        <v>2969</v>
      </c>
      <c r="E833" s="3" t="s">
        <v>7636</v>
      </c>
      <c r="F833" s="3" t="s">
        <v>7637</v>
      </c>
    </row>
    <row r="834" spans="1:6" x14ac:dyDescent="0.35">
      <c r="A834" s="5">
        <f t="shared" ca="1" si="12"/>
        <v>45393</v>
      </c>
      <c r="B834" s="3" t="s">
        <v>2970</v>
      </c>
      <c r="C834" s="3" t="s">
        <v>2971</v>
      </c>
      <c r="D834" s="3" t="s">
        <v>2972</v>
      </c>
      <c r="E834" s="3" t="s">
        <v>7638</v>
      </c>
      <c r="F834" s="3" t="s">
        <v>7639</v>
      </c>
    </row>
    <row r="835" spans="1:6" x14ac:dyDescent="0.35">
      <c r="A835" s="5">
        <f t="shared" ca="1" si="12"/>
        <v>45394</v>
      </c>
      <c r="B835" s="3" t="s">
        <v>2973</v>
      </c>
      <c r="C835" s="3" t="s">
        <v>2974</v>
      </c>
      <c r="D835" s="3" t="s">
        <v>2975</v>
      </c>
      <c r="E835" s="3" t="s">
        <v>7640</v>
      </c>
      <c r="F835" s="3" t="s">
        <v>7641</v>
      </c>
    </row>
    <row r="836" spans="1:6" x14ac:dyDescent="0.35">
      <c r="A836" s="5">
        <f t="shared" ca="1" si="12"/>
        <v>45395</v>
      </c>
      <c r="B836" s="3" t="s">
        <v>2976</v>
      </c>
      <c r="C836" s="3" t="s">
        <v>2977</v>
      </c>
      <c r="D836" s="3" t="s">
        <v>2978</v>
      </c>
      <c r="E836" s="3" t="s">
        <v>7642</v>
      </c>
      <c r="F836" s="3" t="s">
        <v>7643</v>
      </c>
    </row>
    <row r="837" spans="1:6" x14ac:dyDescent="0.35">
      <c r="A837" s="5">
        <f t="shared" ref="A837:A900" ca="1" si="13">A836+1</f>
        <v>45396</v>
      </c>
      <c r="B837" s="3" t="s">
        <v>2979</v>
      </c>
      <c r="C837" s="3" t="s">
        <v>2980</v>
      </c>
      <c r="D837" s="3" t="s">
        <v>2981</v>
      </c>
      <c r="E837" s="3" t="s">
        <v>7644</v>
      </c>
      <c r="F837" s="3" t="s">
        <v>7645</v>
      </c>
    </row>
    <row r="838" spans="1:6" x14ac:dyDescent="0.35">
      <c r="A838" s="5">
        <f t="shared" ca="1" si="13"/>
        <v>45397</v>
      </c>
      <c r="B838" s="3" t="s">
        <v>2982</v>
      </c>
      <c r="C838" s="3" t="s">
        <v>2983</v>
      </c>
      <c r="D838" s="3" t="s">
        <v>2984</v>
      </c>
      <c r="E838" s="3" t="s">
        <v>7646</v>
      </c>
      <c r="F838" s="3" t="s">
        <v>7647</v>
      </c>
    </row>
    <row r="839" spans="1:6" x14ac:dyDescent="0.35">
      <c r="A839" s="5">
        <f t="shared" ca="1" si="13"/>
        <v>45398</v>
      </c>
      <c r="B839" s="3" t="s">
        <v>2985</v>
      </c>
      <c r="C839" s="3" t="s">
        <v>2986</v>
      </c>
      <c r="D839" s="3" t="s">
        <v>2987</v>
      </c>
      <c r="E839" s="3" t="s">
        <v>7648</v>
      </c>
      <c r="F839" s="3" t="s">
        <v>7649</v>
      </c>
    </row>
    <row r="840" spans="1:6" x14ac:dyDescent="0.35">
      <c r="A840" s="5">
        <f t="shared" ca="1" si="13"/>
        <v>45399</v>
      </c>
      <c r="B840" s="3" t="s">
        <v>2988</v>
      </c>
      <c r="C840" s="3" t="s">
        <v>2989</v>
      </c>
      <c r="D840" s="3" t="s">
        <v>2990</v>
      </c>
      <c r="E840" s="3" t="s">
        <v>7650</v>
      </c>
      <c r="F840" s="3" t="s">
        <v>7651</v>
      </c>
    </row>
    <row r="841" spans="1:6" x14ac:dyDescent="0.35">
      <c r="A841" s="5">
        <f t="shared" ca="1" si="13"/>
        <v>45400</v>
      </c>
      <c r="B841" s="3" t="s">
        <v>2991</v>
      </c>
      <c r="C841" s="3" t="s">
        <v>2992</v>
      </c>
      <c r="D841" s="3" t="s">
        <v>2993</v>
      </c>
      <c r="E841" s="3" t="s">
        <v>7652</v>
      </c>
      <c r="F841" s="3" t="s">
        <v>7653</v>
      </c>
    </row>
    <row r="842" spans="1:6" x14ac:dyDescent="0.35">
      <c r="A842" s="5">
        <f t="shared" ca="1" si="13"/>
        <v>45401</v>
      </c>
      <c r="B842" s="3" t="s">
        <v>2994</v>
      </c>
      <c r="C842" s="3" t="s">
        <v>2995</v>
      </c>
      <c r="D842" s="3" t="s">
        <v>2996</v>
      </c>
      <c r="E842" s="3" t="s">
        <v>7654</v>
      </c>
      <c r="F842" s="3" t="s">
        <v>7655</v>
      </c>
    </row>
    <row r="843" spans="1:6" x14ac:dyDescent="0.35">
      <c r="A843" s="5">
        <f t="shared" ca="1" si="13"/>
        <v>45402</v>
      </c>
      <c r="B843" s="3" t="s">
        <v>2997</v>
      </c>
      <c r="C843" s="3" t="s">
        <v>2998</v>
      </c>
      <c r="D843" s="3" t="s">
        <v>2999</v>
      </c>
      <c r="E843" s="3" t="s">
        <v>7656</v>
      </c>
      <c r="F843" s="3" t="s">
        <v>7657</v>
      </c>
    </row>
    <row r="844" spans="1:6" x14ac:dyDescent="0.35">
      <c r="A844" s="5">
        <f t="shared" ca="1" si="13"/>
        <v>45403</v>
      </c>
      <c r="B844" s="3" t="s">
        <v>3000</v>
      </c>
      <c r="C844" s="3" t="s">
        <v>3001</v>
      </c>
      <c r="D844" s="3" t="s">
        <v>3002</v>
      </c>
      <c r="E844" s="3" t="s">
        <v>7658</v>
      </c>
      <c r="F844" s="3" t="s">
        <v>7659</v>
      </c>
    </row>
    <row r="845" spans="1:6" x14ac:dyDescent="0.35">
      <c r="A845" s="5">
        <f t="shared" ca="1" si="13"/>
        <v>45404</v>
      </c>
      <c r="B845" s="3" t="s">
        <v>3003</v>
      </c>
      <c r="C845" s="3" t="s">
        <v>3004</v>
      </c>
      <c r="D845" s="3" t="s">
        <v>3005</v>
      </c>
      <c r="E845" s="3" t="s">
        <v>7660</v>
      </c>
      <c r="F845" s="3" t="s">
        <v>7661</v>
      </c>
    </row>
    <row r="846" spans="1:6" x14ac:dyDescent="0.35">
      <c r="A846" s="5">
        <f t="shared" ca="1" si="13"/>
        <v>45405</v>
      </c>
      <c r="B846" s="3" t="s">
        <v>3006</v>
      </c>
      <c r="C846" s="3" t="s">
        <v>3007</v>
      </c>
      <c r="D846" s="3" t="s">
        <v>3008</v>
      </c>
      <c r="E846" s="3" t="s">
        <v>7662</v>
      </c>
      <c r="F846" s="3" t="s">
        <v>7663</v>
      </c>
    </row>
    <row r="847" spans="1:6" x14ac:dyDescent="0.35">
      <c r="A847" s="5">
        <f t="shared" ca="1" si="13"/>
        <v>45406</v>
      </c>
      <c r="B847" s="3" t="s">
        <v>3009</v>
      </c>
      <c r="C847" s="3" t="s">
        <v>3010</v>
      </c>
      <c r="D847" s="3" t="s">
        <v>3011</v>
      </c>
      <c r="E847" s="3" t="s">
        <v>7664</v>
      </c>
      <c r="F847" s="3" t="s">
        <v>7665</v>
      </c>
    </row>
    <row r="848" spans="1:6" x14ac:dyDescent="0.35">
      <c r="A848" s="5">
        <f t="shared" ca="1" si="13"/>
        <v>45407</v>
      </c>
      <c r="B848" s="3" t="s">
        <v>3012</v>
      </c>
      <c r="C848" s="3" t="s">
        <v>3013</v>
      </c>
      <c r="D848" s="3" t="s">
        <v>3014</v>
      </c>
      <c r="E848" s="3" t="s">
        <v>7666</v>
      </c>
      <c r="F848" s="3" t="s">
        <v>7667</v>
      </c>
    </row>
    <row r="849" spans="1:6" x14ac:dyDescent="0.35">
      <c r="A849" s="5">
        <f t="shared" ca="1" si="13"/>
        <v>45408</v>
      </c>
      <c r="B849" s="3" t="s">
        <v>3015</v>
      </c>
      <c r="C849" s="3" t="s">
        <v>3016</v>
      </c>
      <c r="D849" s="3" t="s">
        <v>3017</v>
      </c>
      <c r="E849" s="3" t="s">
        <v>7668</v>
      </c>
      <c r="F849" s="3" t="s">
        <v>7669</v>
      </c>
    </row>
    <row r="850" spans="1:6" x14ac:dyDescent="0.35">
      <c r="A850" s="5">
        <f t="shared" ca="1" si="13"/>
        <v>45409</v>
      </c>
      <c r="B850" s="3" t="s">
        <v>3018</v>
      </c>
      <c r="C850" s="3" t="s">
        <v>3019</v>
      </c>
      <c r="D850" s="3" t="s">
        <v>3020</v>
      </c>
      <c r="E850" s="3" t="s">
        <v>7670</v>
      </c>
      <c r="F850" s="3" t="s">
        <v>7671</v>
      </c>
    </row>
    <row r="851" spans="1:6" x14ac:dyDescent="0.35">
      <c r="A851" s="5">
        <f t="shared" ca="1" si="13"/>
        <v>45410</v>
      </c>
      <c r="B851" s="3" t="s">
        <v>3021</v>
      </c>
      <c r="C851" s="3" t="s">
        <v>3022</v>
      </c>
      <c r="D851" s="3" t="s">
        <v>3023</v>
      </c>
      <c r="E851" s="3" t="s">
        <v>7672</v>
      </c>
      <c r="F851" s="3" t="s">
        <v>7673</v>
      </c>
    </row>
    <row r="852" spans="1:6" x14ac:dyDescent="0.35">
      <c r="A852" s="5">
        <f t="shared" ca="1" si="13"/>
        <v>45411</v>
      </c>
      <c r="B852" s="3" t="s">
        <v>3024</v>
      </c>
      <c r="C852" s="3" t="s">
        <v>3025</v>
      </c>
      <c r="D852" s="3" t="s">
        <v>3026</v>
      </c>
      <c r="E852" s="3" t="s">
        <v>7674</v>
      </c>
      <c r="F852" s="3" t="s">
        <v>7675</v>
      </c>
    </row>
    <row r="853" spans="1:6" x14ac:dyDescent="0.35">
      <c r="A853" s="5">
        <f t="shared" ca="1" si="13"/>
        <v>45412</v>
      </c>
      <c r="B853" s="3" t="s">
        <v>3027</v>
      </c>
      <c r="C853" s="3" t="s">
        <v>3028</v>
      </c>
      <c r="D853" s="3" t="s">
        <v>3029</v>
      </c>
      <c r="E853" s="3" t="s">
        <v>7676</v>
      </c>
      <c r="F853" s="3" t="s">
        <v>7677</v>
      </c>
    </row>
    <row r="854" spans="1:6" x14ac:dyDescent="0.35">
      <c r="A854" s="5">
        <f t="shared" ca="1" si="13"/>
        <v>45413</v>
      </c>
      <c r="B854" s="3" t="s">
        <v>3030</v>
      </c>
      <c r="C854" s="3" t="s">
        <v>3031</v>
      </c>
      <c r="D854" s="3" t="s">
        <v>3032</v>
      </c>
      <c r="E854" s="3" t="s">
        <v>7678</v>
      </c>
      <c r="F854" s="3" t="s">
        <v>7679</v>
      </c>
    </row>
    <row r="855" spans="1:6" x14ac:dyDescent="0.35">
      <c r="A855" s="5">
        <f t="shared" ca="1" si="13"/>
        <v>45414</v>
      </c>
      <c r="B855" s="3" t="s">
        <v>3033</v>
      </c>
      <c r="C855" s="3" t="s">
        <v>3034</v>
      </c>
      <c r="D855" s="3" t="s">
        <v>3035</v>
      </c>
      <c r="E855" s="3" t="s">
        <v>7680</v>
      </c>
      <c r="F855" s="3" t="s">
        <v>7681</v>
      </c>
    </row>
    <row r="856" spans="1:6" x14ac:dyDescent="0.35">
      <c r="A856" s="5">
        <f t="shared" ca="1" si="13"/>
        <v>45415</v>
      </c>
      <c r="B856" s="3" t="s">
        <v>3036</v>
      </c>
      <c r="C856" s="3" t="s">
        <v>3037</v>
      </c>
      <c r="D856" s="3" t="s">
        <v>3038</v>
      </c>
      <c r="E856" s="3" t="s">
        <v>7682</v>
      </c>
      <c r="F856" s="3" t="s">
        <v>7683</v>
      </c>
    </row>
    <row r="857" spans="1:6" x14ac:dyDescent="0.35">
      <c r="A857" s="5">
        <f t="shared" ca="1" si="13"/>
        <v>45416</v>
      </c>
      <c r="B857" s="3" t="s">
        <v>3039</v>
      </c>
      <c r="C857" s="3" t="s">
        <v>3040</v>
      </c>
      <c r="D857" s="3" t="s">
        <v>3041</v>
      </c>
      <c r="E857" s="3" t="s">
        <v>7684</v>
      </c>
      <c r="F857" s="3" t="s">
        <v>7685</v>
      </c>
    </row>
    <row r="858" spans="1:6" x14ac:dyDescent="0.35">
      <c r="A858" s="5">
        <f t="shared" ca="1" si="13"/>
        <v>45417</v>
      </c>
      <c r="B858" s="3" t="s">
        <v>3042</v>
      </c>
      <c r="C858" s="3" t="s">
        <v>3043</v>
      </c>
      <c r="D858" s="3" t="s">
        <v>3044</v>
      </c>
      <c r="E858" s="3" t="s">
        <v>7686</v>
      </c>
      <c r="F858" s="3" t="s">
        <v>7687</v>
      </c>
    </row>
    <row r="859" spans="1:6" x14ac:dyDescent="0.35">
      <c r="A859" s="5">
        <f t="shared" ca="1" si="13"/>
        <v>45418</v>
      </c>
      <c r="B859" s="3" t="s">
        <v>3045</v>
      </c>
      <c r="C859" s="3" t="s">
        <v>3046</v>
      </c>
      <c r="D859" s="3" t="s">
        <v>3047</v>
      </c>
      <c r="E859" s="3" t="s">
        <v>7688</v>
      </c>
      <c r="F859" s="3" t="s">
        <v>7689</v>
      </c>
    </row>
    <row r="860" spans="1:6" x14ac:dyDescent="0.35">
      <c r="A860" s="5">
        <f t="shared" ca="1" si="13"/>
        <v>45419</v>
      </c>
      <c r="B860" s="3" t="s">
        <v>3048</v>
      </c>
      <c r="C860" s="3" t="s">
        <v>3049</v>
      </c>
      <c r="D860" s="3" t="s">
        <v>3050</v>
      </c>
      <c r="E860" s="3" t="s">
        <v>7690</v>
      </c>
      <c r="F860" s="3" t="s">
        <v>7691</v>
      </c>
    </row>
    <row r="861" spans="1:6" x14ac:dyDescent="0.35">
      <c r="A861" s="5">
        <f t="shared" ca="1" si="13"/>
        <v>45420</v>
      </c>
      <c r="B861" s="3" t="s">
        <v>3051</v>
      </c>
      <c r="C861" s="3" t="s">
        <v>3052</v>
      </c>
      <c r="D861" s="3" t="s">
        <v>3053</v>
      </c>
      <c r="E861" s="3" t="s">
        <v>7692</v>
      </c>
      <c r="F861" s="3" t="s">
        <v>7693</v>
      </c>
    </row>
    <row r="862" spans="1:6" x14ac:dyDescent="0.35">
      <c r="A862" s="5">
        <f t="shared" ca="1" si="13"/>
        <v>45421</v>
      </c>
      <c r="B862" s="3" t="s">
        <v>3054</v>
      </c>
      <c r="C862" s="3" t="s">
        <v>3055</v>
      </c>
      <c r="D862" s="3" t="s">
        <v>3056</v>
      </c>
      <c r="E862" s="3" t="s">
        <v>7694</v>
      </c>
      <c r="F862" s="3" t="s">
        <v>7695</v>
      </c>
    </row>
    <row r="863" spans="1:6" x14ac:dyDescent="0.35">
      <c r="A863" s="5">
        <f t="shared" ca="1" si="13"/>
        <v>45422</v>
      </c>
      <c r="B863" s="3" t="s">
        <v>3057</v>
      </c>
      <c r="C863" s="3" t="s">
        <v>3058</v>
      </c>
      <c r="D863" s="3" t="s">
        <v>3059</v>
      </c>
      <c r="E863" s="3" t="s">
        <v>7696</v>
      </c>
      <c r="F863" s="3" t="s">
        <v>7697</v>
      </c>
    </row>
    <row r="864" spans="1:6" x14ac:dyDescent="0.35">
      <c r="A864" s="5">
        <f t="shared" ca="1" si="13"/>
        <v>45423</v>
      </c>
      <c r="B864" s="3" t="s">
        <v>3060</v>
      </c>
      <c r="C864" s="3" t="s">
        <v>3061</v>
      </c>
      <c r="D864" s="3" t="s">
        <v>3062</v>
      </c>
      <c r="E864" s="3" t="s">
        <v>7698</v>
      </c>
      <c r="F864" s="3" t="s">
        <v>7699</v>
      </c>
    </row>
    <row r="865" spans="1:6" x14ac:dyDescent="0.35">
      <c r="A865" s="5">
        <f t="shared" ca="1" si="13"/>
        <v>45424</v>
      </c>
      <c r="B865" s="3" t="s">
        <v>3063</v>
      </c>
      <c r="C865" s="3" t="s">
        <v>3064</v>
      </c>
      <c r="D865" s="3" t="s">
        <v>3065</v>
      </c>
      <c r="E865" s="3" t="s">
        <v>7700</v>
      </c>
      <c r="F865" s="3" t="s">
        <v>7701</v>
      </c>
    </row>
    <row r="866" spans="1:6" x14ac:dyDescent="0.35">
      <c r="A866" s="5">
        <f t="shared" ca="1" si="13"/>
        <v>45425</v>
      </c>
      <c r="B866" s="3" t="s">
        <v>3066</v>
      </c>
      <c r="C866" s="3" t="s">
        <v>3067</v>
      </c>
      <c r="D866" s="3" t="s">
        <v>3068</v>
      </c>
      <c r="E866" s="3" t="s">
        <v>7702</v>
      </c>
      <c r="F866" s="3" t="s">
        <v>7703</v>
      </c>
    </row>
    <row r="867" spans="1:6" x14ac:dyDescent="0.35">
      <c r="A867" s="5">
        <f t="shared" ca="1" si="13"/>
        <v>45426</v>
      </c>
      <c r="B867" s="3" t="s">
        <v>3069</v>
      </c>
      <c r="C867" s="3" t="s">
        <v>3070</v>
      </c>
      <c r="D867" s="3" t="s">
        <v>3071</v>
      </c>
      <c r="E867" s="3" t="s">
        <v>7704</v>
      </c>
      <c r="F867" s="3" t="s">
        <v>7705</v>
      </c>
    </row>
    <row r="868" spans="1:6" x14ac:dyDescent="0.35">
      <c r="A868" s="5">
        <f t="shared" ca="1" si="13"/>
        <v>45427</v>
      </c>
      <c r="B868" s="3" t="s">
        <v>3072</v>
      </c>
      <c r="C868" s="3" t="s">
        <v>3073</v>
      </c>
      <c r="D868" s="3" t="s">
        <v>3074</v>
      </c>
      <c r="E868" s="3" t="s">
        <v>7706</v>
      </c>
      <c r="F868" s="3" t="s">
        <v>7707</v>
      </c>
    </row>
    <row r="869" spans="1:6" x14ac:dyDescent="0.35">
      <c r="A869" s="5">
        <f t="shared" ca="1" si="13"/>
        <v>45428</v>
      </c>
      <c r="B869" s="3" t="s">
        <v>3075</v>
      </c>
      <c r="C869" s="3" t="s">
        <v>3076</v>
      </c>
      <c r="D869" s="3" t="s">
        <v>3077</v>
      </c>
      <c r="E869" s="3" t="s">
        <v>7708</v>
      </c>
      <c r="F869" s="3" t="s">
        <v>7709</v>
      </c>
    </row>
    <row r="870" spans="1:6" x14ac:dyDescent="0.35">
      <c r="A870" s="5">
        <f t="shared" ca="1" si="13"/>
        <v>45429</v>
      </c>
      <c r="B870" s="3" t="s">
        <v>3078</v>
      </c>
      <c r="C870" s="3" t="s">
        <v>3079</v>
      </c>
      <c r="D870" s="3" t="s">
        <v>3080</v>
      </c>
      <c r="E870" s="3" t="s">
        <v>7710</v>
      </c>
      <c r="F870" s="3" t="s">
        <v>7711</v>
      </c>
    </row>
    <row r="871" spans="1:6" x14ac:dyDescent="0.35">
      <c r="A871" s="5">
        <f t="shared" ca="1" si="13"/>
        <v>45430</v>
      </c>
      <c r="B871" s="3" t="s">
        <v>3081</v>
      </c>
      <c r="C871" s="3" t="s">
        <v>3082</v>
      </c>
      <c r="D871" s="3" t="s">
        <v>3083</v>
      </c>
      <c r="E871" s="3" t="s">
        <v>7712</v>
      </c>
      <c r="F871" s="3" t="s">
        <v>7713</v>
      </c>
    </row>
    <row r="872" spans="1:6" x14ac:dyDescent="0.35">
      <c r="A872" s="5">
        <f t="shared" ca="1" si="13"/>
        <v>45431</v>
      </c>
      <c r="B872" s="3" t="s">
        <v>3084</v>
      </c>
      <c r="C872" s="3" t="s">
        <v>3085</v>
      </c>
      <c r="D872" s="3" t="s">
        <v>3086</v>
      </c>
      <c r="E872" s="3" t="s">
        <v>7714</v>
      </c>
      <c r="F872" s="3" t="s">
        <v>7715</v>
      </c>
    </row>
    <row r="873" spans="1:6" x14ac:dyDescent="0.35">
      <c r="A873" s="5">
        <f t="shared" ca="1" si="13"/>
        <v>45432</v>
      </c>
      <c r="B873" s="3" t="s">
        <v>3087</v>
      </c>
      <c r="C873" s="3" t="s">
        <v>3088</v>
      </c>
      <c r="D873" s="3" t="s">
        <v>3089</v>
      </c>
      <c r="E873" s="3" t="s">
        <v>7716</v>
      </c>
      <c r="F873" s="3" t="s">
        <v>7717</v>
      </c>
    </row>
    <row r="874" spans="1:6" x14ac:dyDescent="0.35">
      <c r="A874" s="5">
        <f t="shared" ca="1" si="13"/>
        <v>45433</v>
      </c>
      <c r="B874" s="3" t="s">
        <v>3090</v>
      </c>
      <c r="C874" s="3" t="s">
        <v>3091</v>
      </c>
      <c r="D874" s="3" t="s">
        <v>3092</v>
      </c>
      <c r="E874" s="3" t="s">
        <v>7718</v>
      </c>
      <c r="F874" s="3" t="s">
        <v>7719</v>
      </c>
    </row>
    <row r="875" spans="1:6" x14ac:dyDescent="0.35">
      <c r="A875" s="5">
        <f t="shared" ca="1" si="13"/>
        <v>45434</v>
      </c>
      <c r="B875" s="3" t="s">
        <v>3093</v>
      </c>
      <c r="C875" s="3" t="s">
        <v>3094</v>
      </c>
      <c r="D875" s="3" t="s">
        <v>3095</v>
      </c>
      <c r="E875" s="3" t="s">
        <v>7720</v>
      </c>
      <c r="F875" s="3" t="s">
        <v>7721</v>
      </c>
    </row>
    <row r="876" spans="1:6" x14ac:dyDescent="0.35">
      <c r="A876" s="5">
        <f t="shared" ca="1" si="13"/>
        <v>45435</v>
      </c>
      <c r="B876" s="3" t="s">
        <v>3096</v>
      </c>
      <c r="C876" s="3" t="s">
        <v>3097</v>
      </c>
      <c r="D876" s="3" t="s">
        <v>3098</v>
      </c>
      <c r="E876" s="3" t="s">
        <v>7722</v>
      </c>
      <c r="F876" s="3" t="s">
        <v>7723</v>
      </c>
    </row>
    <row r="877" spans="1:6" x14ac:dyDescent="0.35">
      <c r="A877" s="5">
        <f t="shared" ca="1" si="13"/>
        <v>45436</v>
      </c>
      <c r="B877" s="3" t="s">
        <v>3099</v>
      </c>
      <c r="C877" s="3" t="s">
        <v>3100</v>
      </c>
      <c r="D877" s="3" t="s">
        <v>3101</v>
      </c>
      <c r="E877" s="3" t="s">
        <v>7724</v>
      </c>
      <c r="F877" s="3" t="s">
        <v>7725</v>
      </c>
    </row>
    <row r="878" spans="1:6" x14ac:dyDescent="0.35">
      <c r="A878" s="5">
        <f t="shared" ca="1" si="13"/>
        <v>45437</v>
      </c>
      <c r="B878" s="3" t="s">
        <v>3102</v>
      </c>
      <c r="C878" s="3" t="s">
        <v>3103</v>
      </c>
      <c r="D878" s="3" t="s">
        <v>3104</v>
      </c>
      <c r="E878" s="3" t="s">
        <v>7726</v>
      </c>
      <c r="F878" s="3" t="s">
        <v>7727</v>
      </c>
    </row>
    <row r="879" spans="1:6" x14ac:dyDescent="0.35">
      <c r="A879" s="5">
        <f t="shared" ca="1" si="13"/>
        <v>45438</v>
      </c>
      <c r="B879" s="3" t="s">
        <v>3105</v>
      </c>
      <c r="C879" s="3" t="s">
        <v>3106</v>
      </c>
      <c r="D879" s="3" t="s">
        <v>3107</v>
      </c>
      <c r="E879" s="3" t="s">
        <v>7728</v>
      </c>
      <c r="F879" s="3" t="s">
        <v>7729</v>
      </c>
    </row>
    <row r="880" spans="1:6" x14ac:dyDescent="0.35">
      <c r="A880" s="5">
        <f t="shared" ca="1" si="13"/>
        <v>45439</v>
      </c>
      <c r="B880" s="3" t="s">
        <v>3108</v>
      </c>
      <c r="C880" s="3" t="s">
        <v>3109</v>
      </c>
      <c r="D880" s="3" t="s">
        <v>3110</v>
      </c>
      <c r="E880" s="3" t="s">
        <v>7730</v>
      </c>
      <c r="F880" s="3" t="s">
        <v>7731</v>
      </c>
    </row>
    <row r="881" spans="1:6" x14ac:dyDescent="0.35">
      <c r="A881" s="5">
        <f t="shared" ca="1" si="13"/>
        <v>45440</v>
      </c>
      <c r="B881" s="3" t="s">
        <v>3111</v>
      </c>
      <c r="C881" s="3" t="s">
        <v>3112</v>
      </c>
      <c r="D881" s="3" t="s">
        <v>3113</v>
      </c>
      <c r="E881" s="3" t="s">
        <v>7732</v>
      </c>
      <c r="F881" s="3" t="s">
        <v>7733</v>
      </c>
    </row>
    <row r="882" spans="1:6" x14ac:dyDescent="0.35">
      <c r="A882" s="5">
        <f t="shared" ca="1" si="13"/>
        <v>45441</v>
      </c>
      <c r="B882" s="3" t="s">
        <v>3114</v>
      </c>
      <c r="C882" s="3" t="s">
        <v>3115</v>
      </c>
      <c r="D882" s="3" t="s">
        <v>3116</v>
      </c>
      <c r="E882" s="3" t="s">
        <v>7734</v>
      </c>
      <c r="F882" s="3" t="s">
        <v>7735</v>
      </c>
    </row>
    <row r="883" spans="1:6" x14ac:dyDescent="0.35">
      <c r="A883" s="5">
        <f t="shared" ca="1" si="13"/>
        <v>45442</v>
      </c>
      <c r="B883" s="3" t="s">
        <v>3117</v>
      </c>
      <c r="C883" s="3" t="s">
        <v>3118</v>
      </c>
      <c r="D883" s="3" t="s">
        <v>3119</v>
      </c>
      <c r="E883" s="3" t="s">
        <v>7736</v>
      </c>
      <c r="F883" s="3" t="s">
        <v>7737</v>
      </c>
    </row>
    <row r="884" spans="1:6" x14ac:dyDescent="0.35">
      <c r="A884" s="5">
        <f t="shared" ca="1" si="13"/>
        <v>45443</v>
      </c>
      <c r="B884" s="3" t="s">
        <v>3120</v>
      </c>
      <c r="C884" s="3" t="s">
        <v>3121</v>
      </c>
      <c r="D884" s="3" t="s">
        <v>3122</v>
      </c>
      <c r="E884" s="3" t="s">
        <v>7738</v>
      </c>
      <c r="F884" s="3" t="s">
        <v>7739</v>
      </c>
    </row>
    <row r="885" spans="1:6" x14ac:dyDescent="0.35">
      <c r="A885" s="5">
        <f t="shared" ca="1" si="13"/>
        <v>45444</v>
      </c>
      <c r="B885" s="3" t="s">
        <v>3123</v>
      </c>
      <c r="C885" s="3" t="s">
        <v>3124</v>
      </c>
      <c r="D885" s="3" t="s">
        <v>3125</v>
      </c>
      <c r="E885" s="3" t="s">
        <v>7740</v>
      </c>
      <c r="F885" s="3" t="s">
        <v>7741</v>
      </c>
    </row>
    <row r="886" spans="1:6" x14ac:dyDescent="0.35">
      <c r="A886" s="5">
        <f t="shared" ca="1" si="13"/>
        <v>45445</v>
      </c>
      <c r="B886" s="3" t="s">
        <v>3126</v>
      </c>
      <c r="C886" s="3" t="s">
        <v>3127</v>
      </c>
      <c r="D886" s="3" t="s">
        <v>3128</v>
      </c>
      <c r="E886" s="3" t="s">
        <v>7742</v>
      </c>
      <c r="F886" s="3" t="s">
        <v>7743</v>
      </c>
    </row>
    <row r="887" spans="1:6" x14ac:dyDescent="0.35">
      <c r="A887" s="5">
        <f t="shared" ca="1" si="13"/>
        <v>45446</v>
      </c>
      <c r="B887" s="3" t="s">
        <v>3129</v>
      </c>
      <c r="C887" s="3" t="s">
        <v>3130</v>
      </c>
      <c r="D887" s="3" t="s">
        <v>3131</v>
      </c>
      <c r="E887" s="3" t="s">
        <v>7744</v>
      </c>
      <c r="F887" s="3" t="s">
        <v>7745</v>
      </c>
    </row>
    <row r="888" spans="1:6" x14ac:dyDescent="0.35">
      <c r="A888" s="5">
        <f t="shared" ca="1" si="13"/>
        <v>45447</v>
      </c>
      <c r="B888" s="3" t="s">
        <v>3132</v>
      </c>
      <c r="C888" s="3" t="s">
        <v>3133</v>
      </c>
      <c r="D888" s="3" t="s">
        <v>3134</v>
      </c>
      <c r="E888" s="3" t="s">
        <v>7746</v>
      </c>
      <c r="F888" s="3" t="s">
        <v>7747</v>
      </c>
    </row>
    <row r="889" spans="1:6" x14ac:dyDescent="0.35">
      <c r="A889" s="5">
        <f t="shared" ca="1" si="13"/>
        <v>45448</v>
      </c>
      <c r="B889" s="3" t="s">
        <v>3135</v>
      </c>
      <c r="C889" s="3" t="s">
        <v>3136</v>
      </c>
      <c r="D889" s="3" t="s">
        <v>3137</v>
      </c>
      <c r="E889" s="3" t="s">
        <v>7748</v>
      </c>
      <c r="F889" s="3" t="s">
        <v>7749</v>
      </c>
    </row>
    <row r="890" spans="1:6" x14ac:dyDescent="0.35">
      <c r="A890" s="5">
        <f t="shared" ca="1" si="13"/>
        <v>45449</v>
      </c>
      <c r="B890" s="3" t="s">
        <v>3138</v>
      </c>
      <c r="C890" s="3" t="s">
        <v>3139</v>
      </c>
      <c r="D890" s="3" t="s">
        <v>3140</v>
      </c>
      <c r="E890" s="3" t="s">
        <v>7750</v>
      </c>
      <c r="F890" s="3" t="s">
        <v>7751</v>
      </c>
    </row>
    <row r="891" spans="1:6" x14ac:dyDescent="0.35">
      <c r="A891" s="5">
        <f t="shared" ca="1" si="13"/>
        <v>45450</v>
      </c>
      <c r="B891" s="3" t="s">
        <v>3141</v>
      </c>
      <c r="C891" s="3" t="s">
        <v>3142</v>
      </c>
      <c r="D891" s="3" t="s">
        <v>3143</v>
      </c>
      <c r="E891" s="3" t="s">
        <v>7752</v>
      </c>
      <c r="F891" s="3" t="s">
        <v>7753</v>
      </c>
    </row>
    <row r="892" spans="1:6" x14ac:dyDescent="0.35">
      <c r="A892" s="5">
        <f t="shared" ca="1" si="13"/>
        <v>45451</v>
      </c>
      <c r="B892" s="3" t="s">
        <v>3144</v>
      </c>
      <c r="C892" s="3" t="s">
        <v>3145</v>
      </c>
      <c r="D892" s="3" t="s">
        <v>3146</v>
      </c>
      <c r="E892" s="3" t="s">
        <v>7754</v>
      </c>
      <c r="F892" s="3" t="s">
        <v>7755</v>
      </c>
    </row>
    <row r="893" spans="1:6" x14ac:dyDescent="0.35">
      <c r="A893" s="5">
        <f t="shared" ca="1" si="13"/>
        <v>45452</v>
      </c>
      <c r="B893" s="3" t="s">
        <v>3147</v>
      </c>
      <c r="C893" s="3" t="s">
        <v>3148</v>
      </c>
      <c r="D893" s="3" t="s">
        <v>3149</v>
      </c>
      <c r="E893" s="3" t="s">
        <v>7756</v>
      </c>
      <c r="F893" s="3" t="s">
        <v>7757</v>
      </c>
    </row>
    <row r="894" spans="1:6" x14ac:dyDescent="0.35">
      <c r="A894" s="5">
        <f t="shared" ca="1" si="13"/>
        <v>45453</v>
      </c>
      <c r="B894" s="3" t="s">
        <v>3150</v>
      </c>
      <c r="C894" s="3" t="s">
        <v>3151</v>
      </c>
      <c r="D894" s="3" t="s">
        <v>3152</v>
      </c>
      <c r="E894" s="3" t="s">
        <v>7758</v>
      </c>
      <c r="F894" s="3" t="s">
        <v>7759</v>
      </c>
    </row>
    <row r="895" spans="1:6" x14ac:dyDescent="0.35">
      <c r="A895" s="5">
        <f t="shared" ca="1" si="13"/>
        <v>45454</v>
      </c>
      <c r="B895" s="3" t="s">
        <v>3153</v>
      </c>
      <c r="C895" s="3" t="s">
        <v>3154</v>
      </c>
      <c r="D895" s="3" t="s">
        <v>3155</v>
      </c>
      <c r="E895" s="3" t="s">
        <v>7760</v>
      </c>
      <c r="F895" s="3" t="s">
        <v>7761</v>
      </c>
    </row>
    <row r="896" spans="1:6" x14ac:dyDescent="0.35">
      <c r="A896" s="5">
        <f t="shared" ca="1" si="13"/>
        <v>45455</v>
      </c>
      <c r="B896" s="3" t="s">
        <v>3156</v>
      </c>
      <c r="C896" s="3" t="s">
        <v>3157</v>
      </c>
      <c r="D896" s="3" t="s">
        <v>3158</v>
      </c>
      <c r="E896" s="3" t="s">
        <v>7762</v>
      </c>
      <c r="F896" s="3" t="s">
        <v>7763</v>
      </c>
    </row>
    <row r="897" spans="1:6" x14ac:dyDescent="0.35">
      <c r="A897" s="5">
        <f t="shared" ca="1" si="13"/>
        <v>45456</v>
      </c>
      <c r="B897" s="3" t="s">
        <v>3159</v>
      </c>
      <c r="C897" s="3" t="s">
        <v>3160</v>
      </c>
      <c r="D897" s="3" t="s">
        <v>3161</v>
      </c>
      <c r="E897" s="3" t="s">
        <v>7764</v>
      </c>
      <c r="F897" s="3" t="s">
        <v>7765</v>
      </c>
    </row>
    <row r="898" spans="1:6" x14ac:dyDescent="0.35">
      <c r="A898" s="5">
        <f t="shared" ca="1" si="13"/>
        <v>45457</v>
      </c>
      <c r="B898" s="3" t="s">
        <v>3162</v>
      </c>
      <c r="C898" s="3" t="s">
        <v>3163</v>
      </c>
      <c r="D898" s="3" t="s">
        <v>3164</v>
      </c>
      <c r="E898" s="3" t="s">
        <v>7766</v>
      </c>
      <c r="F898" s="3" t="s">
        <v>7767</v>
      </c>
    </row>
    <row r="899" spans="1:6" x14ac:dyDescent="0.35">
      <c r="A899" s="5">
        <f t="shared" ca="1" si="13"/>
        <v>45458</v>
      </c>
      <c r="B899" s="3" t="s">
        <v>3165</v>
      </c>
      <c r="C899" s="3" t="s">
        <v>3166</v>
      </c>
      <c r="D899" s="3" t="s">
        <v>3167</v>
      </c>
      <c r="E899" s="3" t="s">
        <v>7768</v>
      </c>
      <c r="F899" s="3" t="s">
        <v>7769</v>
      </c>
    </row>
    <row r="900" spans="1:6" x14ac:dyDescent="0.35">
      <c r="A900" s="5">
        <f t="shared" ca="1" si="13"/>
        <v>45459</v>
      </c>
      <c r="B900" s="3" t="s">
        <v>3168</v>
      </c>
      <c r="C900" s="3" t="s">
        <v>3169</v>
      </c>
      <c r="D900" s="3" t="s">
        <v>3170</v>
      </c>
      <c r="E900" s="3" t="s">
        <v>7770</v>
      </c>
      <c r="F900" s="3" t="s">
        <v>7771</v>
      </c>
    </row>
    <row r="901" spans="1:6" x14ac:dyDescent="0.35">
      <c r="A901" s="5">
        <f t="shared" ref="A901:A964" ca="1" si="14">A900+1</f>
        <v>45460</v>
      </c>
      <c r="B901" s="3" t="s">
        <v>3171</v>
      </c>
      <c r="C901" s="3" t="s">
        <v>3172</v>
      </c>
      <c r="D901" s="3" t="s">
        <v>3173</v>
      </c>
      <c r="E901" s="3" t="s">
        <v>7772</v>
      </c>
      <c r="F901" s="3" t="s">
        <v>7773</v>
      </c>
    </row>
    <row r="902" spans="1:6" x14ac:dyDescent="0.35">
      <c r="A902" s="5">
        <f t="shared" ca="1" si="14"/>
        <v>45461</v>
      </c>
      <c r="B902" s="3" t="s">
        <v>3174</v>
      </c>
      <c r="C902" s="3" t="s">
        <v>3175</v>
      </c>
      <c r="D902" s="3" t="s">
        <v>3176</v>
      </c>
      <c r="E902" s="3" t="s">
        <v>7774</v>
      </c>
      <c r="F902" s="3" t="s">
        <v>7775</v>
      </c>
    </row>
    <row r="903" spans="1:6" x14ac:dyDescent="0.35">
      <c r="A903" s="5">
        <f t="shared" ca="1" si="14"/>
        <v>45462</v>
      </c>
      <c r="B903" s="3" t="s">
        <v>3177</v>
      </c>
      <c r="C903" s="3" t="s">
        <v>3178</v>
      </c>
      <c r="D903" s="3" t="s">
        <v>3179</v>
      </c>
      <c r="E903" s="3" t="s">
        <v>7776</v>
      </c>
      <c r="F903" s="3" t="s">
        <v>7777</v>
      </c>
    </row>
    <row r="904" spans="1:6" x14ac:dyDescent="0.35">
      <c r="A904" s="5">
        <f t="shared" ca="1" si="14"/>
        <v>45463</v>
      </c>
      <c r="B904" s="3" t="s">
        <v>3180</v>
      </c>
      <c r="C904" s="3" t="s">
        <v>3181</v>
      </c>
      <c r="D904" s="3" t="s">
        <v>3182</v>
      </c>
      <c r="E904" s="3" t="s">
        <v>7778</v>
      </c>
      <c r="F904" s="3" t="s">
        <v>7779</v>
      </c>
    </row>
    <row r="905" spans="1:6" x14ac:dyDescent="0.35">
      <c r="A905" s="5">
        <f t="shared" ca="1" si="14"/>
        <v>45464</v>
      </c>
      <c r="B905" s="3" t="s">
        <v>3183</v>
      </c>
      <c r="C905" s="3" t="s">
        <v>3184</v>
      </c>
      <c r="D905" s="3" t="s">
        <v>3185</v>
      </c>
      <c r="E905" s="3" t="s">
        <v>7780</v>
      </c>
      <c r="F905" s="3" t="s">
        <v>7781</v>
      </c>
    </row>
    <row r="906" spans="1:6" x14ac:dyDescent="0.35">
      <c r="A906" s="5">
        <f t="shared" ca="1" si="14"/>
        <v>45465</v>
      </c>
      <c r="B906" s="3" t="s">
        <v>3186</v>
      </c>
      <c r="C906" s="3" t="s">
        <v>3187</v>
      </c>
      <c r="D906" s="3" t="s">
        <v>3188</v>
      </c>
      <c r="E906" s="3" t="s">
        <v>7782</v>
      </c>
      <c r="F906" s="3" t="s">
        <v>7783</v>
      </c>
    </row>
    <row r="907" spans="1:6" x14ac:dyDescent="0.35">
      <c r="A907" s="5">
        <f t="shared" ca="1" si="14"/>
        <v>45466</v>
      </c>
      <c r="B907" s="3" t="s">
        <v>3189</v>
      </c>
      <c r="C907" s="3" t="s">
        <v>3190</v>
      </c>
      <c r="D907" s="3" t="s">
        <v>3191</v>
      </c>
      <c r="E907" s="3" t="s">
        <v>7784</v>
      </c>
      <c r="F907" s="3" t="s">
        <v>7785</v>
      </c>
    </row>
    <row r="908" spans="1:6" x14ac:dyDescent="0.35">
      <c r="A908" s="5">
        <f t="shared" ca="1" si="14"/>
        <v>45467</v>
      </c>
      <c r="B908" s="3" t="s">
        <v>3192</v>
      </c>
      <c r="C908" s="3" t="s">
        <v>3193</v>
      </c>
      <c r="D908" s="3" t="s">
        <v>3194</v>
      </c>
      <c r="E908" s="3" t="s">
        <v>7786</v>
      </c>
      <c r="F908" s="3" t="s">
        <v>7787</v>
      </c>
    </row>
    <row r="909" spans="1:6" x14ac:dyDescent="0.35">
      <c r="A909" s="5">
        <f t="shared" ca="1" si="14"/>
        <v>45468</v>
      </c>
      <c r="B909" s="3" t="s">
        <v>3195</v>
      </c>
      <c r="C909" s="3" t="s">
        <v>3196</v>
      </c>
      <c r="D909" s="3" t="s">
        <v>3197</v>
      </c>
      <c r="E909" s="3" t="s">
        <v>7788</v>
      </c>
      <c r="F909" s="3" t="s">
        <v>7789</v>
      </c>
    </row>
    <row r="910" spans="1:6" x14ac:dyDescent="0.35">
      <c r="A910" s="5">
        <f t="shared" ca="1" si="14"/>
        <v>45469</v>
      </c>
      <c r="B910" s="3" t="s">
        <v>3198</v>
      </c>
      <c r="C910" s="3" t="s">
        <v>3199</v>
      </c>
      <c r="D910" s="3" t="s">
        <v>3200</v>
      </c>
      <c r="E910" s="3" t="s">
        <v>7790</v>
      </c>
      <c r="F910" s="3" t="s">
        <v>7791</v>
      </c>
    </row>
    <row r="911" spans="1:6" x14ac:dyDescent="0.35">
      <c r="A911" s="5">
        <f t="shared" ca="1" si="14"/>
        <v>45470</v>
      </c>
      <c r="B911" s="3" t="s">
        <v>3201</v>
      </c>
      <c r="C911" s="3" t="s">
        <v>3202</v>
      </c>
      <c r="D911" s="3" t="s">
        <v>3203</v>
      </c>
      <c r="E911" s="3" t="s">
        <v>7792</v>
      </c>
      <c r="F911" s="3" t="s">
        <v>7793</v>
      </c>
    </row>
    <row r="912" spans="1:6" x14ac:dyDescent="0.35">
      <c r="A912" s="5">
        <f t="shared" ca="1" si="14"/>
        <v>45471</v>
      </c>
      <c r="B912" s="3" t="s">
        <v>3204</v>
      </c>
      <c r="C912" s="3" t="s">
        <v>3205</v>
      </c>
      <c r="D912" s="3" t="s">
        <v>3206</v>
      </c>
      <c r="E912" s="3" t="s">
        <v>7794</v>
      </c>
      <c r="F912" s="3" t="s">
        <v>7795</v>
      </c>
    </row>
    <row r="913" spans="1:6" x14ac:dyDescent="0.35">
      <c r="A913" s="5">
        <f t="shared" ca="1" si="14"/>
        <v>45472</v>
      </c>
      <c r="B913" s="3" t="s">
        <v>3207</v>
      </c>
      <c r="C913" s="3" t="s">
        <v>3208</v>
      </c>
      <c r="D913" s="3" t="s">
        <v>3209</v>
      </c>
      <c r="E913" s="3" t="s">
        <v>7796</v>
      </c>
      <c r="F913" s="3" t="s">
        <v>7797</v>
      </c>
    </row>
    <row r="914" spans="1:6" x14ac:dyDescent="0.35">
      <c r="A914" s="5">
        <f t="shared" ca="1" si="14"/>
        <v>45473</v>
      </c>
      <c r="B914" s="3" t="s">
        <v>3210</v>
      </c>
      <c r="C914" s="3" t="s">
        <v>3211</v>
      </c>
      <c r="D914" s="3" t="s">
        <v>3212</v>
      </c>
      <c r="E914" s="3" t="s">
        <v>7798</v>
      </c>
      <c r="F914" s="3" t="s">
        <v>7799</v>
      </c>
    </row>
    <row r="915" spans="1:6" x14ac:dyDescent="0.35">
      <c r="A915" s="5">
        <f t="shared" ca="1" si="14"/>
        <v>45474</v>
      </c>
      <c r="B915" s="3" t="s">
        <v>3213</v>
      </c>
      <c r="C915" s="3" t="s">
        <v>3214</v>
      </c>
      <c r="D915" s="3" t="s">
        <v>3215</v>
      </c>
      <c r="E915" s="3" t="s">
        <v>7800</v>
      </c>
      <c r="F915" s="3" t="s">
        <v>7801</v>
      </c>
    </row>
    <row r="916" spans="1:6" x14ac:dyDescent="0.35">
      <c r="A916" s="5">
        <f t="shared" ca="1" si="14"/>
        <v>45475</v>
      </c>
      <c r="B916" s="3" t="s">
        <v>3216</v>
      </c>
      <c r="C916" s="3" t="s">
        <v>3217</v>
      </c>
      <c r="D916" s="3" t="s">
        <v>3218</v>
      </c>
      <c r="E916" s="3" t="s">
        <v>7802</v>
      </c>
      <c r="F916" s="3" t="s">
        <v>7803</v>
      </c>
    </row>
    <row r="917" spans="1:6" x14ac:dyDescent="0.35">
      <c r="A917" s="5">
        <f t="shared" ca="1" si="14"/>
        <v>45476</v>
      </c>
      <c r="B917" s="3" t="s">
        <v>3219</v>
      </c>
      <c r="C917" s="3" t="s">
        <v>3220</v>
      </c>
      <c r="D917" s="3" t="s">
        <v>3221</v>
      </c>
      <c r="E917" s="3" t="s">
        <v>7804</v>
      </c>
      <c r="F917" s="3" t="s">
        <v>7805</v>
      </c>
    </row>
    <row r="918" spans="1:6" x14ac:dyDescent="0.35">
      <c r="A918" s="5">
        <f t="shared" ca="1" si="14"/>
        <v>45477</v>
      </c>
      <c r="B918" s="3" t="s">
        <v>3222</v>
      </c>
      <c r="C918" s="3" t="s">
        <v>3223</v>
      </c>
      <c r="D918" s="3" t="s">
        <v>3224</v>
      </c>
      <c r="E918" s="3" t="s">
        <v>7806</v>
      </c>
      <c r="F918" s="3" t="s">
        <v>7807</v>
      </c>
    </row>
    <row r="919" spans="1:6" x14ac:dyDescent="0.35">
      <c r="A919" s="5">
        <f t="shared" ca="1" si="14"/>
        <v>45478</v>
      </c>
      <c r="B919" s="3" t="s">
        <v>3225</v>
      </c>
      <c r="C919" s="3" t="s">
        <v>3226</v>
      </c>
      <c r="D919" s="3" t="s">
        <v>3227</v>
      </c>
      <c r="E919" s="3" t="s">
        <v>7808</v>
      </c>
      <c r="F919" s="3" t="s">
        <v>7809</v>
      </c>
    </row>
    <row r="920" spans="1:6" x14ac:dyDescent="0.35">
      <c r="A920" s="5">
        <f t="shared" ca="1" si="14"/>
        <v>45479</v>
      </c>
      <c r="B920" s="3" t="s">
        <v>3228</v>
      </c>
      <c r="C920" s="3" t="s">
        <v>3229</v>
      </c>
      <c r="D920" s="3" t="s">
        <v>3230</v>
      </c>
      <c r="E920" s="3" t="s">
        <v>7810</v>
      </c>
      <c r="F920" s="3" t="s">
        <v>7811</v>
      </c>
    </row>
    <row r="921" spans="1:6" x14ac:dyDescent="0.35">
      <c r="A921" s="5">
        <f t="shared" ca="1" si="14"/>
        <v>45480</v>
      </c>
      <c r="B921" s="3" t="s">
        <v>3231</v>
      </c>
      <c r="C921" s="3" t="s">
        <v>3232</v>
      </c>
      <c r="D921" s="3" t="s">
        <v>3233</v>
      </c>
      <c r="E921" s="3" t="s">
        <v>7812</v>
      </c>
      <c r="F921" s="3" t="s">
        <v>7813</v>
      </c>
    </row>
    <row r="922" spans="1:6" x14ac:dyDescent="0.35">
      <c r="A922" s="5">
        <f t="shared" ca="1" si="14"/>
        <v>45481</v>
      </c>
      <c r="B922" s="3" t="s">
        <v>3234</v>
      </c>
      <c r="C922" s="3" t="s">
        <v>3235</v>
      </c>
      <c r="D922" s="3" t="s">
        <v>3236</v>
      </c>
      <c r="E922" s="3" t="s">
        <v>7814</v>
      </c>
      <c r="F922" s="3" t="s">
        <v>7815</v>
      </c>
    </row>
    <row r="923" spans="1:6" x14ac:dyDescent="0.35">
      <c r="A923" s="5">
        <f t="shared" ca="1" si="14"/>
        <v>45482</v>
      </c>
      <c r="B923" s="3" t="s">
        <v>3237</v>
      </c>
      <c r="C923" s="3" t="s">
        <v>3238</v>
      </c>
      <c r="D923" s="3" t="s">
        <v>3239</v>
      </c>
      <c r="E923" s="3" t="s">
        <v>7816</v>
      </c>
      <c r="F923" s="3" t="s">
        <v>7817</v>
      </c>
    </row>
    <row r="924" spans="1:6" x14ac:dyDescent="0.35">
      <c r="A924" s="5">
        <f t="shared" ca="1" si="14"/>
        <v>45483</v>
      </c>
      <c r="B924" s="3" t="s">
        <v>3240</v>
      </c>
      <c r="C924" s="3" t="s">
        <v>3241</v>
      </c>
      <c r="D924" s="3" t="s">
        <v>3242</v>
      </c>
      <c r="E924" s="3" t="s">
        <v>7818</v>
      </c>
      <c r="F924" s="3" t="s">
        <v>7819</v>
      </c>
    </row>
    <row r="925" spans="1:6" x14ac:dyDescent="0.35">
      <c r="A925" s="5">
        <f t="shared" ca="1" si="14"/>
        <v>45484</v>
      </c>
      <c r="B925" s="3" t="s">
        <v>3243</v>
      </c>
      <c r="C925" s="3" t="s">
        <v>3244</v>
      </c>
      <c r="D925" s="3" t="s">
        <v>3245</v>
      </c>
      <c r="E925" s="3" t="s">
        <v>7820</v>
      </c>
      <c r="F925" s="3" t="s">
        <v>7821</v>
      </c>
    </row>
    <row r="926" spans="1:6" x14ac:dyDescent="0.35">
      <c r="A926" s="5">
        <f t="shared" ca="1" si="14"/>
        <v>45485</v>
      </c>
      <c r="B926" s="3" t="s">
        <v>3246</v>
      </c>
      <c r="C926" s="3" t="s">
        <v>3247</v>
      </c>
      <c r="D926" s="3" t="s">
        <v>3248</v>
      </c>
      <c r="E926" s="3" t="s">
        <v>7822</v>
      </c>
      <c r="F926" s="3" t="s">
        <v>7823</v>
      </c>
    </row>
    <row r="927" spans="1:6" x14ac:dyDescent="0.35">
      <c r="A927" s="5">
        <f t="shared" ca="1" si="14"/>
        <v>45486</v>
      </c>
      <c r="B927" s="3" t="s">
        <v>3249</v>
      </c>
      <c r="C927" s="3" t="s">
        <v>3250</v>
      </c>
      <c r="D927" s="3" t="s">
        <v>3251</v>
      </c>
      <c r="E927" s="3" t="s">
        <v>7824</v>
      </c>
      <c r="F927" s="3" t="s">
        <v>7825</v>
      </c>
    </row>
    <row r="928" spans="1:6" x14ac:dyDescent="0.35">
      <c r="A928" s="5">
        <f t="shared" ca="1" si="14"/>
        <v>45487</v>
      </c>
      <c r="B928" s="3" t="s">
        <v>3252</v>
      </c>
      <c r="C928" s="3" t="s">
        <v>3253</v>
      </c>
      <c r="D928" s="3" t="s">
        <v>3254</v>
      </c>
      <c r="E928" s="3" t="s">
        <v>7826</v>
      </c>
      <c r="F928" s="3" t="s">
        <v>7827</v>
      </c>
    </row>
    <row r="929" spans="1:6" x14ac:dyDescent="0.35">
      <c r="A929" s="5">
        <f t="shared" ca="1" si="14"/>
        <v>45488</v>
      </c>
      <c r="B929" s="3" t="s">
        <v>3255</v>
      </c>
      <c r="C929" s="3" t="s">
        <v>3256</v>
      </c>
      <c r="D929" s="3" t="s">
        <v>3257</v>
      </c>
      <c r="E929" s="3" t="s">
        <v>7828</v>
      </c>
      <c r="F929" s="3" t="s">
        <v>7829</v>
      </c>
    </row>
    <row r="930" spans="1:6" x14ac:dyDescent="0.35">
      <c r="A930" s="5">
        <f t="shared" ca="1" si="14"/>
        <v>45489</v>
      </c>
      <c r="B930" s="3" t="s">
        <v>3258</v>
      </c>
      <c r="C930" s="3" t="s">
        <v>3259</v>
      </c>
      <c r="D930" s="3" t="s">
        <v>3260</v>
      </c>
      <c r="E930" s="3" t="s">
        <v>7830</v>
      </c>
      <c r="F930" s="3" t="s">
        <v>7831</v>
      </c>
    </row>
    <row r="931" spans="1:6" x14ac:dyDescent="0.35">
      <c r="A931" s="5">
        <f t="shared" ca="1" si="14"/>
        <v>45490</v>
      </c>
      <c r="B931" s="3" t="s">
        <v>3261</v>
      </c>
      <c r="C931" s="3" t="s">
        <v>3262</v>
      </c>
      <c r="D931" s="3" t="s">
        <v>3263</v>
      </c>
      <c r="E931" s="3" t="s">
        <v>7832</v>
      </c>
      <c r="F931" s="3" t="s">
        <v>7833</v>
      </c>
    </row>
    <row r="932" spans="1:6" x14ac:dyDescent="0.35">
      <c r="A932" s="5">
        <f t="shared" ca="1" si="14"/>
        <v>45491</v>
      </c>
      <c r="B932" s="3" t="s">
        <v>3264</v>
      </c>
      <c r="C932" s="3" t="s">
        <v>3265</v>
      </c>
      <c r="D932" s="3" t="s">
        <v>3266</v>
      </c>
      <c r="E932" s="3" t="s">
        <v>7834</v>
      </c>
      <c r="F932" s="3" t="s">
        <v>7835</v>
      </c>
    </row>
    <row r="933" spans="1:6" x14ac:dyDescent="0.35">
      <c r="A933" s="5">
        <f t="shared" ca="1" si="14"/>
        <v>45492</v>
      </c>
      <c r="B933" s="3" t="s">
        <v>3267</v>
      </c>
      <c r="C933" s="3" t="s">
        <v>3268</v>
      </c>
      <c r="D933" s="3" t="s">
        <v>3269</v>
      </c>
      <c r="E933" s="3" t="s">
        <v>7836</v>
      </c>
      <c r="F933" s="3" t="s">
        <v>7837</v>
      </c>
    </row>
    <row r="934" spans="1:6" x14ac:dyDescent="0.35">
      <c r="A934" s="5">
        <f t="shared" ca="1" si="14"/>
        <v>45493</v>
      </c>
      <c r="B934" s="3" t="s">
        <v>3270</v>
      </c>
      <c r="C934" s="3" t="s">
        <v>3271</v>
      </c>
      <c r="D934" s="3" t="s">
        <v>3272</v>
      </c>
      <c r="E934" s="3" t="s">
        <v>7838</v>
      </c>
      <c r="F934" s="3" t="s">
        <v>7839</v>
      </c>
    </row>
    <row r="935" spans="1:6" x14ac:dyDescent="0.35">
      <c r="A935" s="5">
        <f t="shared" ca="1" si="14"/>
        <v>45494</v>
      </c>
      <c r="B935" s="3" t="s">
        <v>3273</v>
      </c>
      <c r="C935" s="3" t="s">
        <v>3274</v>
      </c>
      <c r="D935" s="3" t="s">
        <v>3275</v>
      </c>
      <c r="E935" s="3" t="s">
        <v>7840</v>
      </c>
      <c r="F935" s="3" t="s">
        <v>7841</v>
      </c>
    </row>
    <row r="936" spans="1:6" x14ac:dyDescent="0.35">
      <c r="A936" s="5">
        <f t="shared" ca="1" si="14"/>
        <v>45495</v>
      </c>
      <c r="B936" s="3" t="s">
        <v>3276</v>
      </c>
      <c r="C936" s="3" t="s">
        <v>3277</v>
      </c>
      <c r="D936" s="3" t="s">
        <v>3278</v>
      </c>
      <c r="E936" s="3" t="s">
        <v>7842</v>
      </c>
      <c r="F936" s="3" t="s">
        <v>7843</v>
      </c>
    </row>
    <row r="937" spans="1:6" x14ac:dyDescent="0.35">
      <c r="A937" s="5">
        <f t="shared" ca="1" si="14"/>
        <v>45496</v>
      </c>
      <c r="B937" s="3" t="s">
        <v>3279</v>
      </c>
      <c r="C937" s="3" t="s">
        <v>3280</v>
      </c>
      <c r="D937" s="3" t="s">
        <v>3281</v>
      </c>
      <c r="E937" s="3" t="s">
        <v>7844</v>
      </c>
      <c r="F937" s="3" t="s">
        <v>7845</v>
      </c>
    </row>
    <row r="938" spans="1:6" x14ac:dyDescent="0.35">
      <c r="A938" s="5">
        <f t="shared" ca="1" si="14"/>
        <v>45497</v>
      </c>
      <c r="B938" s="3" t="s">
        <v>3282</v>
      </c>
      <c r="C938" s="3" t="s">
        <v>3283</v>
      </c>
      <c r="D938" s="3" t="s">
        <v>3284</v>
      </c>
      <c r="E938" s="3" t="s">
        <v>7846</v>
      </c>
      <c r="F938" s="3" t="s">
        <v>7847</v>
      </c>
    </row>
    <row r="939" spans="1:6" x14ac:dyDescent="0.35">
      <c r="A939" s="5">
        <f t="shared" ca="1" si="14"/>
        <v>45498</v>
      </c>
      <c r="B939" s="3" t="s">
        <v>3285</v>
      </c>
      <c r="C939" s="3" t="s">
        <v>3286</v>
      </c>
      <c r="D939" s="3" t="s">
        <v>3287</v>
      </c>
      <c r="E939" s="3" t="s">
        <v>7848</v>
      </c>
      <c r="F939" s="3" t="s">
        <v>7849</v>
      </c>
    </row>
    <row r="940" spans="1:6" x14ac:dyDescent="0.35">
      <c r="A940" s="5">
        <f t="shared" ca="1" si="14"/>
        <v>45499</v>
      </c>
      <c r="B940" s="3" t="s">
        <v>3288</v>
      </c>
      <c r="C940" s="3" t="s">
        <v>3289</v>
      </c>
      <c r="D940" s="3" t="s">
        <v>3290</v>
      </c>
      <c r="E940" s="3" t="s">
        <v>7850</v>
      </c>
      <c r="F940" s="3" t="s">
        <v>7851</v>
      </c>
    </row>
    <row r="941" spans="1:6" x14ac:dyDescent="0.35">
      <c r="A941" s="5">
        <f t="shared" ca="1" si="14"/>
        <v>45500</v>
      </c>
      <c r="B941" s="3" t="s">
        <v>3291</v>
      </c>
      <c r="C941" s="3" t="s">
        <v>3292</v>
      </c>
      <c r="D941" s="3" t="s">
        <v>3293</v>
      </c>
      <c r="E941" s="3" t="s">
        <v>7852</v>
      </c>
      <c r="F941" s="3" t="s">
        <v>7853</v>
      </c>
    </row>
    <row r="942" spans="1:6" x14ac:dyDescent="0.35">
      <c r="A942" s="5">
        <f t="shared" ca="1" si="14"/>
        <v>45501</v>
      </c>
      <c r="B942" s="3" t="s">
        <v>3294</v>
      </c>
      <c r="C942" s="3" t="s">
        <v>3295</v>
      </c>
      <c r="D942" s="3" t="s">
        <v>3296</v>
      </c>
      <c r="E942" s="3" t="s">
        <v>7854</v>
      </c>
      <c r="F942" s="3" t="s">
        <v>7855</v>
      </c>
    </row>
    <row r="943" spans="1:6" x14ac:dyDescent="0.35">
      <c r="A943" s="5">
        <f t="shared" ca="1" si="14"/>
        <v>45502</v>
      </c>
      <c r="B943" s="3" t="s">
        <v>3297</v>
      </c>
      <c r="C943" s="3" t="s">
        <v>3298</v>
      </c>
      <c r="D943" s="3" t="s">
        <v>3299</v>
      </c>
      <c r="E943" s="3" t="s">
        <v>7856</v>
      </c>
      <c r="F943" s="3" t="s">
        <v>7857</v>
      </c>
    </row>
    <row r="944" spans="1:6" x14ac:dyDescent="0.35">
      <c r="A944" s="5">
        <f t="shared" ca="1" si="14"/>
        <v>45503</v>
      </c>
      <c r="B944" s="3" t="s">
        <v>3300</v>
      </c>
      <c r="C944" s="3" t="s">
        <v>3301</v>
      </c>
      <c r="D944" s="3" t="s">
        <v>3302</v>
      </c>
      <c r="E944" s="3" t="s">
        <v>7858</v>
      </c>
      <c r="F944" s="3" t="s">
        <v>7859</v>
      </c>
    </row>
    <row r="945" spans="1:6" x14ac:dyDescent="0.35">
      <c r="A945" s="5">
        <f t="shared" ca="1" si="14"/>
        <v>45504</v>
      </c>
      <c r="B945" s="3" t="s">
        <v>3303</v>
      </c>
      <c r="C945" s="3" t="s">
        <v>3304</v>
      </c>
      <c r="D945" s="3" t="s">
        <v>3305</v>
      </c>
      <c r="E945" s="3" t="s">
        <v>7860</v>
      </c>
      <c r="F945" s="3" t="s">
        <v>7861</v>
      </c>
    </row>
    <row r="946" spans="1:6" x14ac:dyDescent="0.35">
      <c r="A946" s="5">
        <f t="shared" ca="1" si="14"/>
        <v>45505</v>
      </c>
      <c r="B946" s="3" t="s">
        <v>3306</v>
      </c>
      <c r="C946" s="3" t="s">
        <v>3307</v>
      </c>
      <c r="D946" s="3" t="s">
        <v>3308</v>
      </c>
      <c r="E946" s="3" t="s">
        <v>7862</v>
      </c>
      <c r="F946" s="3" t="s">
        <v>7863</v>
      </c>
    </row>
    <row r="947" spans="1:6" x14ac:dyDescent="0.35">
      <c r="A947" s="5">
        <f t="shared" ca="1" si="14"/>
        <v>45506</v>
      </c>
      <c r="B947" s="3" t="s">
        <v>3309</v>
      </c>
      <c r="C947" s="3" t="s">
        <v>3310</v>
      </c>
      <c r="D947" s="3" t="s">
        <v>3311</v>
      </c>
      <c r="E947" s="3" t="s">
        <v>7864</v>
      </c>
      <c r="F947" s="3" t="s">
        <v>7865</v>
      </c>
    </row>
    <row r="948" spans="1:6" x14ac:dyDescent="0.35">
      <c r="A948" s="5">
        <f t="shared" ca="1" si="14"/>
        <v>45507</v>
      </c>
      <c r="B948" s="3" t="s">
        <v>3312</v>
      </c>
      <c r="C948" s="3" t="s">
        <v>3313</v>
      </c>
      <c r="D948" s="3" t="s">
        <v>3314</v>
      </c>
      <c r="E948" s="3" t="s">
        <v>7866</v>
      </c>
      <c r="F948" s="3" t="s">
        <v>7867</v>
      </c>
    </row>
    <row r="949" spans="1:6" x14ac:dyDescent="0.35">
      <c r="A949" s="5">
        <f t="shared" ca="1" si="14"/>
        <v>45508</v>
      </c>
      <c r="B949" s="3" t="s">
        <v>3315</v>
      </c>
      <c r="C949" s="3" t="s">
        <v>3316</v>
      </c>
      <c r="D949" s="3" t="s">
        <v>3317</v>
      </c>
      <c r="E949" s="3" t="s">
        <v>7868</v>
      </c>
      <c r="F949" s="3" t="s">
        <v>7869</v>
      </c>
    </row>
    <row r="950" spans="1:6" x14ac:dyDescent="0.35">
      <c r="A950" s="5">
        <f t="shared" ca="1" si="14"/>
        <v>45509</v>
      </c>
      <c r="B950" s="3" t="s">
        <v>3318</v>
      </c>
      <c r="C950" s="3" t="s">
        <v>3319</v>
      </c>
      <c r="D950" s="3" t="s">
        <v>3320</v>
      </c>
      <c r="E950" s="3" t="s">
        <v>7870</v>
      </c>
      <c r="F950" s="3" t="s">
        <v>7871</v>
      </c>
    </row>
    <row r="951" spans="1:6" x14ac:dyDescent="0.35">
      <c r="A951" s="5">
        <f t="shared" ca="1" si="14"/>
        <v>45510</v>
      </c>
      <c r="B951" s="3" t="s">
        <v>3321</v>
      </c>
      <c r="C951" s="3" t="s">
        <v>3322</v>
      </c>
      <c r="D951" s="3" t="s">
        <v>3323</v>
      </c>
      <c r="E951" s="3" t="s">
        <v>7872</v>
      </c>
      <c r="F951" s="3" t="s">
        <v>7873</v>
      </c>
    </row>
    <row r="952" spans="1:6" x14ac:dyDescent="0.35">
      <c r="A952" s="5">
        <f t="shared" ca="1" si="14"/>
        <v>45511</v>
      </c>
      <c r="B952" s="3" t="s">
        <v>3324</v>
      </c>
      <c r="C952" s="3" t="s">
        <v>3325</v>
      </c>
      <c r="D952" s="3" t="s">
        <v>3326</v>
      </c>
      <c r="E952" s="3" t="s">
        <v>7874</v>
      </c>
      <c r="F952" s="3" t="s">
        <v>7875</v>
      </c>
    </row>
    <row r="953" spans="1:6" x14ac:dyDescent="0.35">
      <c r="A953" s="5">
        <f t="shared" ca="1" si="14"/>
        <v>45512</v>
      </c>
      <c r="B953" s="3" t="s">
        <v>3327</v>
      </c>
      <c r="C953" s="3" t="s">
        <v>3328</v>
      </c>
      <c r="D953" s="3" t="s">
        <v>3329</v>
      </c>
      <c r="E953" s="3" t="s">
        <v>7876</v>
      </c>
      <c r="F953" s="3" t="s">
        <v>7877</v>
      </c>
    </row>
    <row r="954" spans="1:6" x14ac:dyDescent="0.35">
      <c r="A954" s="5">
        <f t="shared" ca="1" si="14"/>
        <v>45513</v>
      </c>
      <c r="B954" s="3" t="s">
        <v>3330</v>
      </c>
      <c r="C954" s="3" t="s">
        <v>3331</v>
      </c>
      <c r="D954" s="3" t="s">
        <v>3332</v>
      </c>
      <c r="E954" s="3" t="s">
        <v>7878</v>
      </c>
      <c r="F954" s="3" t="s">
        <v>7879</v>
      </c>
    </row>
    <row r="955" spans="1:6" x14ac:dyDescent="0.35">
      <c r="A955" s="5">
        <f t="shared" ca="1" si="14"/>
        <v>45514</v>
      </c>
      <c r="B955" s="3" t="s">
        <v>3333</v>
      </c>
      <c r="C955" s="3" t="s">
        <v>3334</v>
      </c>
      <c r="D955" s="3" t="s">
        <v>3335</v>
      </c>
      <c r="E955" s="3" t="s">
        <v>7880</v>
      </c>
      <c r="F955" s="3" t="s">
        <v>7881</v>
      </c>
    </row>
    <row r="956" spans="1:6" x14ac:dyDescent="0.35">
      <c r="A956" s="5">
        <f t="shared" ca="1" si="14"/>
        <v>45515</v>
      </c>
      <c r="B956" s="3" t="s">
        <v>3336</v>
      </c>
      <c r="C956" s="3" t="s">
        <v>3337</v>
      </c>
      <c r="D956" s="3" t="s">
        <v>3338</v>
      </c>
      <c r="E956" s="3" t="s">
        <v>7882</v>
      </c>
      <c r="F956" s="3" t="s">
        <v>7883</v>
      </c>
    </row>
    <row r="957" spans="1:6" x14ac:dyDescent="0.35">
      <c r="A957" s="5">
        <f t="shared" ca="1" si="14"/>
        <v>45516</v>
      </c>
      <c r="B957" s="3" t="s">
        <v>3339</v>
      </c>
      <c r="C957" s="3" t="s">
        <v>3340</v>
      </c>
      <c r="D957" s="3" t="s">
        <v>3341</v>
      </c>
      <c r="E957" s="3" t="s">
        <v>7884</v>
      </c>
      <c r="F957" s="3" t="s">
        <v>7885</v>
      </c>
    </row>
    <row r="958" spans="1:6" x14ac:dyDescent="0.35">
      <c r="A958" s="5">
        <f t="shared" ca="1" si="14"/>
        <v>45517</v>
      </c>
      <c r="B958" s="3" t="s">
        <v>3342</v>
      </c>
      <c r="C958" s="3" t="s">
        <v>3343</v>
      </c>
      <c r="D958" s="3" t="s">
        <v>3344</v>
      </c>
      <c r="E958" s="3" t="s">
        <v>7886</v>
      </c>
      <c r="F958" s="3" t="s">
        <v>7887</v>
      </c>
    </row>
    <row r="959" spans="1:6" x14ac:dyDescent="0.35">
      <c r="A959" s="5">
        <f t="shared" ca="1" si="14"/>
        <v>45518</v>
      </c>
      <c r="B959" s="3" t="s">
        <v>3345</v>
      </c>
      <c r="C959" s="3" t="s">
        <v>3346</v>
      </c>
      <c r="D959" s="3" t="s">
        <v>3347</v>
      </c>
      <c r="E959" s="3" t="s">
        <v>7888</v>
      </c>
      <c r="F959" s="3" t="s">
        <v>7889</v>
      </c>
    </row>
    <row r="960" spans="1:6" x14ac:dyDescent="0.35">
      <c r="A960" s="5">
        <f t="shared" ca="1" si="14"/>
        <v>45519</v>
      </c>
      <c r="B960" s="3" t="s">
        <v>3348</v>
      </c>
      <c r="C960" s="3" t="s">
        <v>3349</v>
      </c>
      <c r="D960" s="3" t="s">
        <v>3350</v>
      </c>
      <c r="E960" s="3" t="s">
        <v>7890</v>
      </c>
      <c r="F960" s="3" t="s">
        <v>7891</v>
      </c>
    </row>
    <row r="961" spans="1:6" x14ac:dyDescent="0.35">
      <c r="A961" s="5">
        <f t="shared" ca="1" si="14"/>
        <v>45520</v>
      </c>
      <c r="B961" s="3" t="s">
        <v>3351</v>
      </c>
      <c r="C961" s="3" t="s">
        <v>3352</v>
      </c>
      <c r="D961" s="3" t="s">
        <v>3353</v>
      </c>
      <c r="E961" s="3" t="s">
        <v>7892</v>
      </c>
      <c r="F961" s="3" t="s">
        <v>7893</v>
      </c>
    </row>
    <row r="962" spans="1:6" x14ac:dyDescent="0.35">
      <c r="A962" s="5">
        <f t="shared" ca="1" si="14"/>
        <v>45521</v>
      </c>
      <c r="B962" s="3" t="s">
        <v>3354</v>
      </c>
      <c r="C962" s="3" t="s">
        <v>3355</v>
      </c>
      <c r="D962" s="3" t="s">
        <v>3356</v>
      </c>
      <c r="E962" s="3" t="s">
        <v>7894</v>
      </c>
      <c r="F962" s="3" t="s">
        <v>7895</v>
      </c>
    </row>
    <row r="963" spans="1:6" x14ac:dyDescent="0.35">
      <c r="A963" s="5">
        <f t="shared" ca="1" si="14"/>
        <v>45522</v>
      </c>
      <c r="B963" s="3" t="s">
        <v>3357</v>
      </c>
      <c r="C963" s="3" t="s">
        <v>3358</v>
      </c>
      <c r="D963" s="3" t="s">
        <v>3359</v>
      </c>
      <c r="E963" s="3" t="s">
        <v>7896</v>
      </c>
      <c r="F963" s="3" t="s">
        <v>7897</v>
      </c>
    </row>
    <row r="964" spans="1:6" x14ac:dyDescent="0.35">
      <c r="A964" s="5">
        <f t="shared" ca="1" si="14"/>
        <v>45523</v>
      </c>
      <c r="B964" s="3" t="s">
        <v>3360</v>
      </c>
      <c r="C964" s="3" t="s">
        <v>3361</v>
      </c>
      <c r="D964" s="3" t="s">
        <v>3362</v>
      </c>
      <c r="E964" s="3" t="s">
        <v>7898</v>
      </c>
      <c r="F964" s="3" t="s">
        <v>7899</v>
      </c>
    </row>
    <row r="965" spans="1:6" x14ac:dyDescent="0.35">
      <c r="A965" s="5">
        <f t="shared" ref="A965:A1028" ca="1" si="15">A964+1</f>
        <v>45524</v>
      </c>
      <c r="B965" s="3" t="s">
        <v>3363</v>
      </c>
      <c r="C965" s="3" t="s">
        <v>3364</v>
      </c>
      <c r="D965" s="3" t="s">
        <v>3365</v>
      </c>
      <c r="E965" s="3" t="s">
        <v>7900</v>
      </c>
      <c r="F965" s="3" t="s">
        <v>7901</v>
      </c>
    </row>
    <row r="966" spans="1:6" x14ac:dyDescent="0.35">
      <c r="A966" s="5">
        <f t="shared" ca="1" si="15"/>
        <v>45525</v>
      </c>
      <c r="B966" s="3" t="s">
        <v>3366</v>
      </c>
      <c r="C966" s="3" t="s">
        <v>3367</v>
      </c>
      <c r="D966" s="3" t="s">
        <v>3368</v>
      </c>
      <c r="E966" s="3" t="s">
        <v>7902</v>
      </c>
      <c r="F966" s="3" t="s">
        <v>7903</v>
      </c>
    </row>
    <row r="967" spans="1:6" x14ac:dyDescent="0.35">
      <c r="A967" s="5">
        <f t="shared" ca="1" si="15"/>
        <v>45526</v>
      </c>
      <c r="B967" s="3" t="s">
        <v>3369</v>
      </c>
      <c r="C967" s="3" t="s">
        <v>3370</v>
      </c>
      <c r="D967" s="3" t="s">
        <v>3371</v>
      </c>
      <c r="E967" s="3" t="s">
        <v>7904</v>
      </c>
      <c r="F967" s="3" t="s">
        <v>7905</v>
      </c>
    </row>
    <row r="968" spans="1:6" x14ac:dyDescent="0.35">
      <c r="A968" s="5">
        <f t="shared" ca="1" si="15"/>
        <v>45527</v>
      </c>
      <c r="B968" s="3" t="s">
        <v>3372</v>
      </c>
      <c r="C968" s="3" t="s">
        <v>3373</v>
      </c>
      <c r="D968" s="3" t="s">
        <v>3374</v>
      </c>
      <c r="E968" s="3" t="s">
        <v>7906</v>
      </c>
      <c r="F968" s="3" t="s">
        <v>7907</v>
      </c>
    </row>
    <row r="969" spans="1:6" x14ac:dyDescent="0.35">
      <c r="A969" s="5">
        <f t="shared" ca="1" si="15"/>
        <v>45528</v>
      </c>
      <c r="B969" s="3" t="s">
        <v>3375</v>
      </c>
      <c r="C969" s="3" t="s">
        <v>3376</v>
      </c>
      <c r="D969" s="3" t="s">
        <v>3377</v>
      </c>
      <c r="E969" s="3" t="s">
        <v>7908</v>
      </c>
      <c r="F969" s="3" t="s">
        <v>7909</v>
      </c>
    </row>
    <row r="970" spans="1:6" x14ac:dyDescent="0.35">
      <c r="A970" s="5">
        <f t="shared" ca="1" si="15"/>
        <v>45529</v>
      </c>
      <c r="B970" s="3" t="s">
        <v>3378</v>
      </c>
      <c r="C970" s="3" t="s">
        <v>3379</v>
      </c>
      <c r="D970" s="3" t="s">
        <v>3380</v>
      </c>
      <c r="E970" s="3" t="s">
        <v>7910</v>
      </c>
      <c r="F970" s="3" t="s">
        <v>7911</v>
      </c>
    </row>
    <row r="971" spans="1:6" x14ac:dyDescent="0.35">
      <c r="A971" s="5">
        <f t="shared" ca="1" si="15"/>
        <v>45530</v>
      </c>
      <c r="B971" s="3" t="s">
        <v>3381</v>
      </c>
      <c r="C971" s="3" t="s">
        <v>3382</v>
      </c>
      <c r="D971" s="3" t="s">
        <v>3383</v>
      </c>
      <c r="E971" s="3" t="s">
        <v>7912</v>
      </c>
      <c r="F971" s="3" t="s">
        <v>7913</v>
      </c>
    </row>
    <row r="972" spans="1:6" x14ac:dyDescent="0.35">
      <c r="A972" s="5">
        <f t="shared" ca="1" si="15"/>
        <v>45531</v>
      </c>
      <c r="B972" s="3" t="s">
        <v>3384</v>
      </c>
      <c r="C972" s="3" t="s">
        <v>3385</v>
      </c>
      <c r="D972" s="3" t="s">
        <v>3386</v>
      </c>
      <c r="E972" s="3" t="s">
        <v>7914</v>
      </c>
      <c r="F972" s="3" t="s">
        <v>7915</v>
      </c>
    </row>
    <row r="973" spans="1:6" x14ac:dyDescent="0.35">
      <c r="A973" s="5">
        <f t="shared" ca="1" si="15"/>
        <v>45532</v>
      </c>
      <c r="B973" s="3" t="s">
        <v>3387</v>
      </c>
      <c r="C973" s="3" t="s">
        <v>3388</v>
      </c>
      <c r="D973" s="3" t="s">
        <v>3389</v>
      </c>
      <c r="E973" s="3" t="s">
        <v>7916</v>
      </c>
      <c r="F973" s="3" t="s">
        <v>7917</v>
      </c>
    </row>
    <row r="974" spans="1:6" x14ac:dyDescent="0.35">
      <c r="A974" s="5">
        <f t="shared" ca="1" si="15"/>
        <v>45533</v>
      </c>
      <c r="B974" s="3" t="s">
        <v>3390</v>
      </c>
      <c r="C974" s="3" t="s">
        <v>3391</v>
      </c>
      <c r="D974" s="3" t="s">
        <v>3392</v>
      </c>
      <c r="E974" s="3" t="s">
        <v>7918</v>
      </c>
      <c r="F974" s="3" t="s">
        <v>7919</v>
      </c>
    </row>
    <row r="975" spans="1:6" x14ac:dyDescent="0.35">
      <c r="A975" s="5">
        <f t="shared" ca="1" si="15"/>
        <v>45534</v>
      </c>
      <c r="B975" s="3" t="s">
        <v>3393</v>
      </c>
      <c r="C975" s="3" t="s">
        <v>3394</v>
      </c>
      <c r="D975" s="3" t="s">
        <v>3395</v>
      </c>
      <c r="E975" s="3" t="s">
        <v>7920</v>
      </c>
      <c r="F975" s="3" t="s">
        <v>7921</v>
      </c>
    </row>
    <row r="976" spans="1:6" x14ac:dyDescent="0.35">
      <c r="A976" s="5">
        <f t="shared" ca="1" si="15"/>
        <v>45535</v>
      </c>
      <c r="B976" s="3" t="s">
        <v>3396</v>
      </c>
      <c r="C976" s="3" t="s">
        <v>3397</v>
      </c>
      <c r="D976" s="3" t="s">
        <v>3398</v>
      </c>
      <c r="E976" s="3" t="s">
        <v>7922</v>
      </c>
      <c r="F976" s="3" t="s">
        <v>7923</v>
      </c>
    </row>
    <row r="977" spans="1:6" x14ac:dyDescent="0.35">
      <c r="A977" s="5">
        <f t="shared" ca="1" si="15"/>
        <v>45536</v>
      </c>
      <c r="B977" s="3" t="s">
        <v>3399</v>
      </c>
      <c r="C977" s="3" t="s">
        <v>3400</v>
      </c>
      <c r="D977" s="3" t="s">
        <v>3401</v>
      </c>
      <c r="E977" s="3" t="s">
        <v>7924</v>
      </c>
      <c r="F977" s="3" t="s">
        <v>7925</v>
      </c>
    </row>
    <row r="978" spans="1:6" x14ac:dyDescent="0.35">
      <c r="A978" s="5">
        <f t="shared" ca="1" si="15"/>
        <v>45537</v>
      </c>
      <c r="B978" s="3" t="s">
        <v>3402</v>
      </c>
      <c r="C978" s="3" t="s">
        <v>3403</v>
      </c>
      <c r="D978" s="3" t="s">
        <v>3404</v>
      </c>
      <c r="E978" s="3" t="s">
        <v>7926</v>
      </c>
      <c r="F978" s="3" t="s">
        <v>7927</v>
      </c>
    </row>
    <row r="979" spans="1:6" x14ac:dyDescent="0.35">
      <c r="A979" s="5">
        <f t="shared" ca="1" si="15"/>
        <v>45538</v>
      </c>
      <c r="B979" s="3" t="s">
        <v>3405</v>
      </c>
      <c r="C979" s="3" t="s">
        <v>3406</v>
      </c>
      <c r="D979" s="3" t="s">
        <v>3407</v>
      </c>
      <c r="E979" s="3" t="s">
        <v>7928</v>
      </c>
      <c r="F979" s="3" t="s">
        <v>7929</v>
      </c>
    </row>
    <row r="980" spans="1:6" x14ac:dyDescent="0.35">
      <c r="A980" s="5">
        <f t="shared" ca="1" si="15"/>
        <v>45539</v>
      </c>
      <c r="B980" s="3" t="s">
        <v>3408</v>
      </c>
      <c r="C980" s="3" t="s">
        <v>3409</v>
      </c>
      <c r="D980" s="3" t="s">
        <v>3410</v>
      </c>
      <c r="E980" s="3" t="s">
        <v>7930</v>
      </c>
      <c r="F980" s="3" t="s">
        <v>7931</v>
      </c>
    </row>
    <row r="981" spans="1:6" x14ac:dyDescent="0.35">
      <c r="A981" s="5">
        <f t="shared" ca="1" si="15"/>
        <v>45540</v>
      </c>
      <c r="B981" s="3" t="s">
        <v>3411</v>
      </c>
      <c r="C981" s="3" t="s">
        <v>3412</v>
      </c>
      <c r="D981" s="3" t="s">
        <v>3413</v>
      </c>
      <c r="E981" s="3" t="s">
        <v>7932</v>
      </c>
      <c r="F981" s="3" t="s">
        <v>7933</v>
      </c>
    </row>
    <row r="982" spans="1:6" x14ac:dyDescent="0.35">
      <c r="A982" s="5">
        <f t="shared" ca="1" si="15"/>
        <v>45541</v>
      </c>
      <c r="B982" s="3" t="s">
        <v>3414</v>
      </c>
      <c r="C982" s="3" t="s">
        <v>3415</v>
      </c>
      <c r="D982" s="3" t="s">
        <v>3416</v>
      </c>
      <c r="E982" s="3" t="s">
        <v>7934</v>
      </c>
      <c r="F982" s="3" t="s">
        <v>7935</v>
      </c>
    </row>
    <row r="983" spans="1:6" x14ac:dyDescent="0.35">
      <c r="A983" s="5">
        <f t="shared" ca="1" si="15"/>
        <v>45542</v>
      </c>
      <c r="B983" s="3" t="s">
        <v>3417</v>
      </c>
      <c r="C983" s="3" t="s">
        <v>3418</v>
      </c>
      <c r="D983" s="3" t="s">
        <v>3419</v>
      </c>
      <c r="E983" s="3" t="s">
        <v>7936</v>
      </c>
      <c r="F983" s="3" t="s">
        <v>7937</v>
      </c>
    </row>
    <row r="984" spans="1:6" x14ac:dyDescent="0.35">
      <c r="A984" s="5">
        <f t="shared" ca="1" si="15"/>
        <v>45543</v>
      </c>
      <c r="B984" s="3" t="s">
        <v>3420</v>
      </c>
      <c r="C984" s="3" t="s">
        <v>3421</v>
      </c>
      <c r="D984" s="3" t="s">
        <v>3422</v>
      </c>
      <c r="E984" s="3" t="s">
        <v>7938</v>
      </c>
      <c r="F984" s="3" t="s">
        <v>7939</v>
      </c>
    </row>
    <row r="985" spans="1:6" x14ac:dyDescent="0.35">
      <c r="A985" s="5">
        <f t="shared" ca="1" si="15"/>
        <v>45544</v>
      </c>
      <c r="B985" s="3" t="s">
        <v>3423</v>
      </c>
      <c r="C985" s="3" t="s">
        <v>3424</v>
      </c>
      <c r="D985" s="3" t="s">
        <v>3425</v>
      </c>
      <c r="E985" s="3" t="s">
        <v>7940</v>
      </c>
      <c r="F985" s="3" t="s">
        <v>7941</v>
      </c>
    </row>
    <row r="986" spans="1:6" x14ac:dyDescent="0.35">
      <c r="A986" s="5">
        <f t="shared" ca="1" si="15"/>
        <v>45545</v>
      </c>
      <c r="B986" s="3" t="s">
        <v>3426</v>
      </c>
      <c r="C986" s="3" t="s">
        <v>3427</v>
      </c>
      <c r="D986" s="3" t="s">
        <v>3428</v>
      </c>
      <c r="E986" s="3" t="s">
        <v>7942</v>
      </c>
      <c r="F986" s="3" t="s">
        <v>7943</v>
      </c>
    </row>
    <row r="987" spans="1:6" x14ac:dyDescent="0.35">
      <c r="A987" s="5">
        <f t="shared" ca="1" si="15"/>
        <v>45546</v>
      </c>
      <c r="B987" s="3" t="s">
        <v>3429</v>
      </c>
      <c r="C987" s="3" t="s">
        <v>3430</v>
      </c>
      <c r="D987" s="3" t="s">
        <v>3431</v>
      </c>
      <c r="E987" s="3" t="s">
        <v>7944</v>
      </c>
      <c r="F987" s="3" t="s">
        <v>7945</v>
      </c>
    </row>
    <row r="988" spans="1:6" x14ac:dyDescent="0.35">
      <c r="A988" s="5">
        <f t="shared" ca="1" si="15"/>
        <v>45547</v>
      </c>
      <c r="B988" s="3" t="s">
        <v>3432</v>
      </c>
      <c r="C988" s="3" t="s">
        <v>3433</v>
      </c>
      <c r="D988" s="3" t="s">
        <v>3434</v>
      </c>
      <c r="E988" s="3" t="s">
        <v>7946</v>
      </c>
      <c r="F988" s="3" t="s">
        <v>7947</v>
      </c>
    </row>
    <row r="989" spans="1:6" x14ac:dyDescent="0.35">
      <c r="A989" s="5">
        <f t="shared" ca="1" si="15"/>
        <v>45548</v>
      </c>
      <c r="B989" s="3" t="s">
        <v>3435</v>
      </c>
      <c r="C989" s="3" t="s">
        <v>3436</v>
      </c>
      <c r="D989" s="3" t="s">
        <v>3437</v>
      </c>
      <c r="E989" s="3" t="s">
        <v>7948</v>
      </c>
      <c r="F989" s="3" t="s">
        <v>7949</v>
      </c>
    </row>
    <row r="990" spans="1:6" x14ac:dyDescent="0.35">
      <c r="A990" s="5">
        <f t="shared" ca="1" si="15"/>
        <v>45549</v>
      </c>
      <c r="B990" s="3" t="s">
        <v>3438</v>
      </c>
      <c r="C990" s="3" t="s">
        <v>3439</v>
      </c>
      <c r="D990" s="3" t="s">
        <v>3440</v>
      </c>
      <c r="E990" s="3" t="s">
        <v>7950</v>
      </c>
      <c r="F990" s="3" t="s">
        <v>7951</v>
      </c>
    </row>
    <row r="991" spans="1:6" x14ac:dyDescent="0.35">
      <c r="A991" s="5">
        <f t="shared" ca="1" si="15"/>
        <v>45550</v>
      </c>
      <c r="B991" s="3" t="s">
        <v>3441</v>
      </c>
      <c r="C991" s="3" t="s">
        <v>3442</v>
      </c>
      <c r="D991" s="3" t="s">
        <v>3443</v>
      </c>
      <c r="E991" s="3" t="s">
        <v>7952</v>
      </c>
      <c r="F991" s="3" t="s">
        <v>7953</v>
      </c>
    </row>
    <row r="992" spans="1:6" x14ac:dyDescent="0.35">
      <c r="A992" s="5">
        <f t="shared" ca="1" si="15"/>
        <v>45551</v>
      </c>
      <c r="B992" s="3" t="s">
        <v>3444</v>
      </c>
      <c r="C992" s="3" t="s">
        <v>3445</v>
      </c>
      <c r="D992" s="3" t="s">
        <v>3446</v>
      </c>
      <c r="E992" s="3" t="s">
        <v>7954</v>
      </c>
      <c r="F992" s="3" t="s">
        <v>7955</v>
      </c>
    </row>
    <row r="993" spans="1:6" x14ac:dyDescent="0.35">
      <c r="A993" s="5">
        <f t="shared" ca="1" si="15"/>
        <v>45552</v>
      </c>
      <c r="B993" s="3" t="s">
        <v>3447</v>
      </c>
      <c r="C993" s="3" t="s">
        <v>3448</v>
      </c>
      <c r="D993" s="3" t="s">
        <v>3449</v>
      </c>
      <c r="E993" s="3" t="s">
        <v>7956</v>
      </c>
      <c r="F993" s="3" t="s">
        <v>7957</v>
      </c>
    </row>
    <row r="994" spans="1:6" x14ac:dyDescent="0.35">
      <c r="A994" s="5">
        <f t="shared" ca="1" si="15"/>
        <v>45553</v>
      </c>
      <c r="B994" s="3" t="s">
        <v>3450</v>
      </c>
      <c r="C994" s="3" t="s">
        <v>3451</v>
      </c>
      <c r="D994" s="3" t="s">
        <v>3452</v>
      </c>
      <c r="E994" s="3" t="s">
        <v>7958</v>
      </c>
      <c r="F994" s="3" t="s">
        <v>7959</v>
      </c>
    </row>
    <row r="995" spans="1:6" x14ac:dyDescent="0.35">
      <c r="A995" s="5">
        <f t="shared" ca="1" si="15"/>
        <v>45554</v>
      </c>
      <c r="B995" s="3" t="s">
        <v>3453</v>
      </c>
      <c r="C995" s="3" t="s">
        <v>3454</v>
      </c>
      <c r="D995" s="3" t="s">
        <v>3455</v>
      </c>
      <c r="E995" s="3" t="s">
        <v>7960</v>
      </c>
      <c r="F995" s="3" t="s">
        <v>7961</v>
      </c>
    </row>
    <row r="996" spans="1:6" x14ac:dyDescent="0.35">
      <c r="A996" s="5">
        <f t="shared" ca="1" si="15"/>
        <v>45555</v>
      </c>
      <c r="B996" s="3" t="s">
        <v>3456</v>
      </c>
      <c r="C996" s="3" t="s">
        <v>3457</v>
      </c>
      <c r="D996" s="3" t="s">
        <v>3458</v>
      </c>
      <c r="E996" s="3" t="s">
        <v>7962</v>
      </c>
      <c r="F996" s="3" t="s">
        <v>7963</v>
      </c>
    </row>
    <row r="997" spans="1:6" x14ac:dyDescent="0.35">
      <c r="A997" s="5">
        <f t="shared" ca="1" si="15"/>
        <v>45556</v>
      </c>
      <c r="B997" s="3" t="s">
        <v>3459</v>
      </c>
      <c r="C997" s="3" t="s">
        <v>3460</v>
      </c>
      <c r="D997" s="3" t="s">
        <v>3461</v>
      </c>
      <c r="E997" s="3" t="s">
        <v>7964</v>
      </c>
      <c r="F997" s="3" t="s">
        <v>7965</v>
      </c>
    </row>
    <row r="998" spans="1:6" x14ac:dyDescent="0.35">
      <c r="A998" s="5">
        <f t="shared" ca="1" si="15"/>
        <v>45557</v>
      </c>
      <c r="B998" s="3" t="s">
        <v>3462</v>
      </c>
      <c r="C998" s="3" t="s">
        <v>3463</v>
      </c>
      <c r="D998" s="3" t="s">
        <v>3464</v>
      </c>
      <c r="E998" s="3" t="s">
        <v>7966</v>
      </c>
      <c r="F998" s="3" t="s">
        <v>7967</v>
      </c>
    </row>
    <row r="999" spans="1:6" x14ac:dyDescent="0.35">
      <c r="A999" s="5">
        <f t="shared" ca="1" si="15"/>
        <v>45558</v>
      </c>
      <c r="B999" s="3" t="s">
        <v>3465</v>
      </c>
      <c r="C999" s="3" t="s">
        <v>3466</v>
      </c>
      <c r="D999" s="3" t="s">
        <v>3467</v>
      </c>
      <c r="E999" s="3" t="s">
        <v>7968</v>
      </c>
      <c r="F999" s="3" t="s">
        <v>7969</v>
      </c>
    </row>
    <row r="1000" spans="1:6" x14ac:dyDescent="0.35">
      <c r="A1000" s="5">
        <f t="shared" ca="1" si="15"/>
        <v>45559</v>
      </c>
      <c r="B1000" s="3" t="s">
        <v>3468</v>
      </c>
      <c r="C1000" s="3" t="s">
        <v>3469</v>
      </c>
      <c r="D1000" s="3" t="s">
        <v>3470</v>
      </c>
      <c r="E1000" s="3" t="s">
        <v>7970</v>
      </c>
      <c r="F1000" s="3" t="s">
        <v>7971</v>
      </c>
    </row>
    <row r="1001" spans="1:6" x14ac:dyDescent="0.35">
      <c r="A1001" s="5">
        <f t="shared" ca="1" si="15"/>
        <v>45560</v>
      </c>
      <c r="B1001" s="3" t="s">
        <v>3471</v>
      </c>
      <c r="C1001" s="3" t="s">
        <v>3472</v>
      </c>
      <c r="D1001" s="3" t="s">
        <v>3473</v>
      </c>
      <c r="E1001" s="3" t="s">
        <v>7972</v>
      </c>
      <c r="F1001" s="3" t="s">
        <v>7973</v>
      </c>
    </row>
    <row r="1002" spans="1:6" x14ac:dyDescent="0.35">
      <c r="A1002" s="5">
        <f t="shared" ca="1" si="15"/>
        <v>45561</v>
      </c>
      <c r="B1002" s="3" t="s">
        <v>3474</v>
      </c>
      <c r="C1002" s="3" t="s">
        <v>3475</v>
      </c>
      <c r="D1002" s="3" t="s">
        <v>3476</v>
      </c>
      <c r="E1002" s="3" t="s">
        <v>7974</v>
      </c>
      <c r="F1002" s="3" t="s">
        <v>7975</v>
      </c>
    </row>
    <row r="1003" spans="1:6" x14ac:dyDescent="0.35">
      <c r="A1003" s="5">
        <f t="shared" ca="1" si="15"/>
        <v>45562</v>
      </c>
      <c r="B1003" s="3" t="s">
        <v>3477</v>
      </c>
      <c r="C1003" s="3" t="s">
        <v>3478</v>
      </c>
      <c r="D1003" s="3" t="s">
        <v>3479</v>
      </c>
      <c r="E1003" s="3" t="s">
        <v>7976</v>
      </c>
      <c r="F1003" s="3" t="s">
        <v>7977</v>
      </c>
    </row>
    <row r="1004" spans="1:6" x14ac:dyDescent="0.35">
      <c r="A1004" s="5">
        <f t="shared" ca="1" si="15"/>
        <v>45563</v>
      </c>
      <c r="B1004" s="3" t="s">
        <v>3480</v>
      </c>
      <c r="C1004" s="3" t="s">
        <v>3481</v>
      </c>
      <c r="D1004" s="3" t="s">
        <v>3482</v>
      </c>
      <c r="E1004" s="3" t="s">
        <v>7978</v>
      </c>
      <c r="F1004" s="3" t="s">
        <v>7979</v>
      </c>
    </row>
    <row r="1005" spans="1:6" x14ac:dyDescent="0.35">
      <c r="A1005" s="5">
        <f t="shared" ca="1" si="15"/>
        <v>45564</v>
      </c>
      <c r="B1005" s="3" t="s">
        <v>3483</v>
      </c>
      <c r="C1005" s="3" t="s">
        <v>3484</v>
      </c>
      <c r="D1005" s="3" t="s">
        <v>3485</v>
      </c>
      <c r="E1005" s="3" t="s">
        <v>7980</v>
      </c>
      <c r="F1005" s="3" t="s">
        <v>7981</v>
      </c>
    </row>
    <row r="1006" spans="1:6" x14ac:dyDescent="0.35">
      <c r="A1006" s="5">
        <f t="shared" ca="1" si="15"/>
        <v>45565</v>
      </c>
      <c r="B1006" s="3" t="s">
        <v>3486</v>
      </c>
      <c r="C1006" s="3" t="s">
        <v>3487</v>
      </c>
      <c r="D1006" s="3" t="s">
        <v>3488</v>
      </c>
      <c r="E1006" s="3" t="s">
        <v>7982</v>
      </c>
      <c r="F1006" s="3" t="s">
        <v>7983</v>
      </c>
    </row>
    <row r="1007" spans="1:6" x14ac:dyDescent="0.35">
      <c r="A1007" s="5">
        <f t="shared" ca="1" si="15"/>
        <v>45566</v>
      </c>
      <c r="B1007" s="3" t="s">
        <v>3489</v>
      </c>
      <c r="C1007" s="3" t="s">
        <v>3490</v>
      </c>
      <c r="D1007" s="3" t="s">
        <v>3491</v>
      </c>
      <c r="E1007" s="3" t="s">
        <v>7984</v>
      </c>
      <c r="F1007" s="3" t="s">
        <v>7985</v>
      </c>
    </row>
    <row r="1008" spans="1:6" x14ac:dyDescent="0.35">
      <c r="A1008" s="5">
        <f t="shared" ca="1" si="15"/>
        <v>45567</v>
      </c>
      <c r="B1008" s="3" t="s">
        <v>3492</v>
      </c>
      <c r="C1008" s="3" t="s">
        <v>3493</v>
      </c>
      <c r="D1008" s="3" t="s">
        <v>3494</v>
      </c>
      <c r="E1008" s="3" t="s">
        <v>7986</v>
      </c>
      <c r="F1008" s="3" t="s">
        <v>7987</v>
      </c>
    </row>
    <row r="1009" spans="1:6" x14ac:dyDescent="0.35">
      <c r="A1009" s="5">
        <f t="shared" ca="1" si="15"/>
        <v>45568</v>
      </c>
      <c r="B1009" s="3" t="s">
        <v>3495</v>
      </c>
      <c r="C1009" s="3" t="s">
        <v>3496</v>
      </c>
      <c r="D1009" s="3" t="s">
        <v>3497</v>
      </c>
      <c r="E1009" s="3" t="s">
        <v>7988</v>
      </c>
      <c r="F1009" s="3" t="s">
        <v>7989</v>
      </c>
    </row>
    <row r="1010" spans="1:6" x14ac:dyDescent="0.35">
      <c r="A1010" s="5">
        <f t="shared" ca="1" si="15"/>
        <v>45569</v>
      </c>
      <c r="B1010" s="3" t="s">
        <v>3498</v>
      </c>
      <c r="C1010" s="3" t="s">
        <v>3499</v>
      </c>
      <c r="D1010" s="3" t="s">
        <v>3500</v>
      </c>
      <c r="E1010" s="3" t="s">
        <v>7990</v>
      </c>
      <c r="F1010" s="3" t="s">
        <v>7991</v>
      </c>
    </row>
    <row r="1011" spans="1:6" x14ac:dyDescent="0.35">
      <c r="A1011" s="5">
        <f t="shared" ca="1" si="15"/>
        <v>45570</v>
      </c>
      <c r="B1011" s="3" t="s">
        <v>3501</v>
      </c>
      <c r="C1011" s="3" t="s">
        <v>3502</v>
      </c>
      <c r="D1011" s="3" t="s">
        <v>3503</v>
      </c>
      <c r="E1011" s="3" t="s">
        <v>7992</v>
      </c>
      <c r="F1011" s="3" t="s">
        <v>7993</v>
      </c>
    </row>
    <row r="1012" spans="1:6" x14ac:dyDescent="0.35">
      <c r="A1012" s="5">
        <f t="shared" ca="1" si="15"/>
        <v>45571</v>
      </c>
      <c r="B1012" s="3" t="s">
        <v>3504</v>
      </c>
      <c r="C1012" s="3" t="s">
        <v>3505</v>
      </c>
      <c r="D1012" s="3" t="s">
        <v>3506</v>
      </c>
      <c r="E1012" s="3" t="s">
        <v>7994</v>
      </c>
      <c r="F1012" s="3" t="s">
        <v>7995</v>
      </c>
    </row>
    <row r="1013" spans="1:6" x14ac:dyDescent="0.35">
      <c r="A1013" s="5">
        <f t="shared" ca="1" si="15"/>
        <v>45572</v>
      </c>
      <c r="B1013" s="3" t="s">
        <v>3507</v>
      </c>
      <c r="C1013" s="3" t="s">
        <v>3508</v>
      </c>
      <c r="D1013" s="3" t="s">
        <v>3509</v>
      </c>
      <c r="E1013" s="3" t="s">
        <v>7996</v>
      </c>
      <c r="F1013" s="3" t="s">
        <v>7997</v>
      </c>
    </row>
    <row r="1014" spans="1:6" x14ac:dyDescent="0.35">
      <c r="A1014" s="5">
        <f t="shared" ca="1" si="15"/>
        <v>45573</v>
      </c>
      <c r="B1014" s="3" t="s">
        <v>3510</v>
      </c>
      <c r="C1014" s="3" t="s">
        <v>3511</v>
      </c>
      <c r="D1014" s="3" t="s">
        <v>3512</v>
      </c>
      <c r="E1014" s="3" t="s">
        <v>7998</v>
      </c>
      <c r="F1014" s="3" t="s">
        <v>7999</v>
      </c>
    </row>
    <row r="1015" spans="1:6" x14ac:dyDescent="0.35">
      <c r="A1015" s="5">
        <f t="shared" ca="1" si="15"/>
        <v>45574</v>
      </c>
      <c r="B1015" s="3" t="s">
        <v>3513</v>
      </c>
      <c r="C1015" s="3" t="s">
        <v>3514</v>
      </c>
      <c r="D1015" s="3" t="s">
        <v>3515</v>
      </c>
      <c r="E1015" s="3" t="s">
        <v>8000</v>
      </c>
      <c r="F1015" s="3" t="s">
        <v>8001</v>
      </c>
    </row>
    <row r="1016" spans="1:6" x14ac:dyDescent="0.35">
      <c r="A1016" s="5">
        <f t="shared" ca="1" si="15"/>
        <v>45575</v>
      </c>
      <c r="B1016" s="3" t="s">
        <v>3516</v>
      </c>
      <c r="C1016" s="3" t="s">
        <v>3517</v>
      </c>
      <c r="D1016" s="3" t="s">
        <v>3518</v>
      </c>
      <c r="E1016" s="3" t="s">
        <v>8002</v>
      </c>
      <c r="F1016" s="3" t="s">
        <v>8003</v>
      </c>
    </row>
    <row r="1017" spans="1:6" x14ac:dyDescent="0.35">
      <c r="A1017" s="5">
        <f t="shared" ca="1" si="15"/>
        <v>45576</v>
      </c>
      <c r="B1017" s="3" t="s">
        <v>3519</v>
      </c>
      <c r="C1017" s="3" t="s">
        <v>3520</v>
      </c>
      <c r="D1017" s="3" t="s">
        <v>3521</v>
      </c>
      <c r="E1017" s="3" t="s">
        <v>8004</v>
      </c>
      <c r="F1017" s="3" t="s">
        <v>8005</v>
      </c>
    </row>
    <row r="1018" spans="1:6" x14ac:dyDescent="0.35">
      <c r="A1018" s="5">
        <f t="shared" ca="1" si="15"/>
        <v>45577</v>
      </c>
      <c r="B1018" s="3" t="s">
        <v>3522</v>
      </c>
      <c r="C1018" s="3" t="s">
        <v>3523</v>
      </c>
      <c r="D1018" s="3" t="s">
        <v>3524</v>
      </c>
      <c r="E1018" s="3" t="s">
        <v>8006</v>
      </c>
      <c r="F1018" s="3" t="s">
        <v>8007</v>
      </c>
    </row>
    <row r="1019" spans="1:6" x14ac:dyDescent="0.35">
      <c r="A1019" s="5">
        <f t="shared" ca="1" si="15"/>
        <v>45578</v>
      </c>
      <c r="B1019" s="3" t="s">
        <v>3525</v>
      </c>
      <c r="C1019" s="3" t="s">
        <v>3526</v>
      </c>
      <c r="D1019" s="3" t="s">
        <v>3527</v>
      </c>
      <c r="E1019" s="3" t="s">
        <v>8008</v>
      </c>
      <c r="F1019" s="3" t="s">
        <v>8009</v>
      </c>
    </row>
    <row r="1020" spans="1:6" x14ac:dyDescent="0.35">
      <c r="A1020" s="5">
        <f t="shared" ca="1" si="15"/>
        <v>45579</v>
      </c>
      <c r="B1020" s="3" t="s">
        <v>3528</v>
      </c>
      <c r="C1020" s="3" t="s">
        <v>3529</v>
      </c>
      <c r="D1020" s="3" t="s">
        <v>3530</v>
      </c>
      <c r="E1020" s="3" t="s">
        <v>8010</v>
      </c>
      <c r="F1020" s="3" t="s">
        <v>8011</v>
      </c>
    </row>
    <row r="1021" spans="1:6" x14ac:dyDescent="0.35">
      <c r="A1021" s="5">
        <f t="shared" ca="1" si="15"/>
        <v>45580</v>
      </c>
      <c r="B1021" s="3" t="s">
        <v>3531</v>
      </c>
      <c r="C1021" s="3" t="s">
        <v>3532</v>
      </c>
      <c r="D1021" s="3" t="s">
        <v>3533</v>
      </c>
      <c r="E1021" s="3" t="s">
        <v>8012</v>
      </c>
      <c r="F1021" s="3" t="s">
        <v>8013</v>
      </c>
    </row>
    <row r="1022" spans="1:6" x14ac:dyDescent="0.35">
      <c r="A1022" s="5">
        <f t="shared" ca="1" si="15"/>
        <v>45581</v>
      </c>
      <c r="B1022" s="3" t="s">
        <v>3534</v>
      </c>
      <c r="C1022" s="3" t="s">
        <v>3535</v>
      </c>
      <c r="D1022" s="3" t="s">
        <v>3536</v>
      </c>
      <c r="E1022" s="3" t="s">
        <v>8014</v>
      </c>
      <c r="F1022" s="3" t="s">
        <v>8015</v>
      </c>
    </row>
    <row r="1023" spans="1:6" x14ac:dyDescent="0.35">
      <c r="A1023" s="5">
        <f t="shared" ca="1" si="15"/>
        <v>45582</v>
      </c>
      <c r="B1023" s="3" t="s">
        <v>3537</v>
      </c>
      <c r="C1023" s="3" t="s">
        <v>3538</v>
      </c>
      <c r="D1023" s="3" t="s">
        <v>3539</v>
      </c>
      <c r="E1023" s="3" t="s">
        <v>8016</v>
      </c>
      <c r="F1023" s="3" t="s">
        <v>8017</v>
      </c>
    </row>
    <row r="1024" spans="1:6" x14ac:dyDescent="0.35">
      <c r="A1024" s="5">
        <f t="shared" ca="1" si="15"/>
        <v>45583</v>
      </c>
      <c r="B1024" s="3" t="s">
        <v>3540</v>
      </c>
      <c r="C1024" s="3" t="s">
        <v>3541</v>
      </c>
      <c r="D1024" s="3" t="s">
        <v>3542</v>
      </c>
      <c r="E1024" s="3" t="s">
        <v>8018</v>
      </c>
      <c r="F1024" s="3" t="s">
        <v>8019</v>
      </c>
    </row>
    <row r="1025" spans="1:6" x14ac:dyDescent="0.35">
      <c r="A1025" s="5">
        <f t="shared" ca="1" si="15"/>
        <v>45584</v>
      </c>
      <c r="B1025" s="3" t="s">
        <v>3543</v>
      </c>
      <c r="C1025" s="3" t="s">
        <v>3544</v>
      </c>
      <c r="D1025" s="3" t="s">
        <v>3545</v>
      </c>
      <c r="E1025" s="3" t="s">
        <v>8020</v>
      </c>
      <c r="F1025" s="3" t="s">
        <v>8021</v>
      </c>
    </row>
    <row r="1026" spans="1:6" x14ac:dyDescent="0.35">
      <c r="A1026" s="5">
        <f t="shared" ca="1" si="15"/>
        <v>45585</v>
      </c>
      <c r="B1026" s="3" t="s">
        <v>3546</v>
      </c>
      <c r="C1026" s="3" t="s">
        <v>3547</v>
      </c>
      <c r="D1026" s="3" t="s">
        <v>3548</v>
      </c>
      <c r="E1026" s="3" t="s">
        <v>8022</v>
      </c>
      <c r="F1026" s="3" t="s">
        <v>8023</v>
      </c>
    </row>
    <row r="1027" spans="1:6" x14ac:dyDescent="0.35">
      <c r="A1027" s="5">
        <f t="shared" ca="1" si="15"/>
        <v>45586</v>
      </c>
      <c r="B1027" s="3" t="s">
        <v>3549</v>
      </c>
      <c r="C1027" s="3" t="s">
        <v>3550</v>
      </c>
      <c r="D1027" s="3" t="s">
        <v>3551</v>
      </c>
      <c r="E1027" s="3" t="s">
        <v>8024</v>
      </c>
      <c r="F1027" s="3" t="s">
        <v>8025</v>
      </c>
    </row>
    <row r="1028" spans="1:6" x14ac:dyDescent="0.35">
      <c r="A1028" s="5">
        <f t="shared" ca="1" si="15"/>
        <v>45587</v>
      </c>
      <c r="B1028" s="3" t="s">
        <v>3552</v>
      </c>
      <c r="C1028" s="3" t="s">
        <v>3553</v>
      </c>
      <c r="D1028" s="3" t="s">
        <v>3554</v>
      </c>
      <c r="E1028" s="3" t="s">
        <v>8026</v>
      </c>
      <c r="F1028" s="3" t="s">
        <v>8027</v>
      </c>
    </row>
    <row r="1029" spans="1:6" x14ac:dyDescent="0.35">
      <c r="A1029" s="5">
        <f t="shared" ref="A1029:A1092" ca="1" si="16">A1028+1</f>
        <v>45588</v>
      </c>
      <c r="B1029" s="3" t="s">
        <v>3555</v>
      </c>
      <c r="C1029" s="3" t="s">
        <v>3556</v>
      </c>
      <c r="D1029" s="3" t="s">
        <v>3557</v>
      </c>
      <c r="E1029" s="3" t="s">
        <v>8028</v>
      </c>
      <c r="F1029" s="3" t="s">
        <v>8029</v>
      </c>
    </row>
    <row r="1030" spans="1:6" x14ac:dyDescent="0.35">
      <c r="A1030" s="5">
        <f t="shared" ca="1" si="16"/>
        <v>45589</v>
      </c>
      <c r="B1030" s="3" t="s">
        <v>3558</v>
      </c>
      <c r="C1030" s="3" t="s">
        <v>3559</v>
      </c>
      <c r="D1030" s="3" t="s">
        <v>3560</v>
      </c>
      <c r="E1030" s="3" t="s">
        <v>8030</v>
      </c>
      <c r="F1030" s="3" t="s">
        <v>8031</v>
      </c>
    </row>
    <row r="1031" spans="1:6" x14ac:dyDescent="0.35">
      <c r="A1031" s="5">
        <f t="shared" ca="1" si="16"/>
        <v>45590</v>
      </c>
      <c r="B1031" s="3" t="s">
        <v>3561</v>
      </c>
      <c r="C1031" s="3" t="s">
        <v>3562</v>
      </c>
      <c r="D1031" s="3" t="s">
        <v>3563</v>
      </c>
      <c r="E1031" s="3" t="s">
        <v>8032</v>
      </c>
      <c r="F1031" s="3" t="s">
        <v>8033</v>
      </c>
    </row>
    <row r="1032" spans="1:6" x14ac:dyDescent="0.35">
      <c r="A1032" s="5">
        <f t="shared" ca="1" si="16"/>
        <v>45591</v>
      </c>
      <c r="B1032" s="3" t="s">
        <v>3564</v>
      </c>
      <c r="C1032" s="3" t="s">
        <v>3565</v>
      </c>
      <c r="D1032" s="3" t="s">
        <v>3566</v>
      </c>
      <c r="E1032" s="3" t="s">
        <v>8034</v>
      </c>
      <c r="F1032" s="3" t="s">
        <v>8035</v>
      </c>
    </row>
    <row r="1033" spans="1:6" x14ac:dyDescent="0.35">
      <c r="A1033" s="5">
        <f t="shared" ca="1" si="16"/>
        <v>45592</v>
      </c>
      <c r="B1033" s="3" t="s">
        <v>3567</v>
      </c>
      <c r="C1033" s="3" t="s">
        <v>3568</v>
      </c>
      <c r="D1033" s="3" t="s">
        <v>3569</v>
      </c>
      <c r="E1033" s="3" t="s">
        <v>8036</v>
      </c>
      <c r="F1033" s="3" t="s">
        <v>8037</v>
      </c>
    </row>
    <row r="1034" spans="1:6" x14ac:dyDescent="0.35">
      <c r="A1034" s="5">
        <f t="shared" ca="1" si="16"/>
        <v>45593</v>
      </c>
      <c r="B1034" s="3" t="s">
        <v>3570</v>
      </c>
      <c r="C1034" s="3" t="s">
        <v>3571</v>
      </c>
      <c r="D1034" s="3" t="s">
        <v>3572</v>
      </c>
      <c r="E1034" s="3" t="s">
        <v>8038</v>
      </c>
      <c r="F1034" s="3" t="s">
        <v>8039</v>
      </c>
    </row>
    <row r="1035" spans="1:6" x14ac:dyDescent="0.35">
      <c r="A1035" s="5">
        <f t="shared" ca="1" si="16"/>
        <v>45594</v>
      </c>
      <c r="B1035" s="3" t="s">
        <v>3573</v>
      </c>
      <c r="C1035" s="3" t="s">
        <v>3574</v>
      </c>
      <c r="D1035" s="3" t="s">
        <v>3575</v>
      </c>
      <c r="E1035" s="3" t="s">
        <v>8040</v>
      </c>
      <c r="F1035" s="3" t="s">
        <v>8041</v>
      </c>
    </row>
    <row r="1036" spans="1:6" x14ac:dyDescent="0.35">
      <c r="A1036" s="5">
        <f t="shared" ca="1" si="16"/>
        <v>45595</v>
      </c>
      <c r="B1036" s="3" t="s">
        <v>3576</v>
      </c>
      <c r="C1036" s="3" t="s">
        <v>3577</v>
      </c>
      <c r="D1036" s="3" t="s">
        <v>3578</v>
      </c>
      <c r="E1036" s="3" t="s">
        <v>8042</v>
      </c>
      <c r="F1036" s="3" t="s">
        <v>8043</v>
      </c>
    </row>
    <row r="1037" spans="1:6" x14ac:dyDescent="0.35">
      <c r="A1037" s="5">
        <f t="shared" ca="1" si="16"/>
        <v>45596</v>
      </c>
      <c r="B1037" s="3" t="s">
        <v>3579</v>
      </c>
      <c r="C1037" s="3" t="s">
        <v>3580</v>
      </c>
      <c r="D1037" s="3" t="s">
        <v>3581</v>
      </c>
      <c r="E1037" s="3" t="s">
        <v>8044</v>
      </c>
      <c r="F1037" s="3" t="s">
        <v>8045</v>
      </c>
    </row>
    <row r="1038" spans="1:6" x14ac:dyDescent="0.35">
      <c r="A1038" s="5">
        <f t="shared" ca="1" si="16"/>
        <v>45597</v>
      </c>
      <c r="B1038" s="3" t="s">
        <v>3582</v>
      </c>
      <c r="C1038" s="3" t="s">
        <v>3583</v>
      </c>
      <c r="D1038" s="3" t="s">
        <v>3584</v>
      </c>
      <c r="E1038" s="3" t="s">
        <v>8046</v>
      </c>
      <c r="F1038" s="3" t="s">
        <v>8047</v>
      </c>
    </row>
    <row r="1039" spans="1:6" x14ac:dyDescent="0.35">
      <c r="A1039" s="5">
        <f t="shared" ca="1" si="16"/>
        <v>45598</v>
      </c>
      <c r="B1039" s="3" t="s">
        <v>3585</v>
      </c>
      <c r="C1039" s="3" t="s">
        <v>3586</v>
      </c>
      <c r="D1039" s="3" t="s">
        <v>3587</v>
      </c>
      <c r="E1039" s="3" t="s">
        <v>8048</v>
      </c>
      <c r="F1039" s="3" t="s">
        <v>8049</v>
      </c>
    </row>
    <row r="1040" spans="1:6" x14ac:dyDescent="0.35">
      <c r="A1040" s="5">
        <f t="shared" ca="1" si="16"/>
        <v>45599</v>
      </c>
      <c r="B1040" s="3" t="s">
        <v>3588</v>
      </c>
      <c r="C1040" s="3" t="s">
        <v>3589</v>
      </c>
      <c r="D1040" s="3" t="s">
        <v>3590</v>
      </c>
      <c r="E1040" s="3" t="s">
        <v>8050</v>
      </c>
      <c r="F1040" s="3" t="s">
        <v>8051</v>
      </c>
    </row>
    <row r="1041" spans="1:6" x14ac:dyDescent="0.35">
      <c r="A1041" s="5">
        <f t="shared" ca="1" si="16"/>
        <v>45600</v>
      </c>
      <c r="B1041" s="3" t="s">
        <v>3591</v>
      </c>
      <c r="C1041" s="3" t="s">
        <v>3592</v>
      </c>
      <c r="D1041" s="3" t="s">
        <v>3593</v>
      </c>
      <c r="E1041" s="3" t="s">
        <v>8052</v>
      </c>
      <c r="F1041" s="3" t="s">
        <v>8053</v>
      </c>
    </row>
    <row r="1042" spans="1:6" x14ac:dyDescent="0.35">
      <c r="A1042" s="5">
        <f t="shared" ca="1" si="16"/>
        <v>45601</v>
      </c>
      <c r="B1042" s="3" t="s">
        <v>3594</v>
      </c>
      <c r="C1042" s="3" t="s">
        <v>3595</v>
      </c>
      <c r="D1042" s="3" t="s">
        <v>3596</v>
      </c>
      <c r="E1042" s="3" t="s">
        <v>8054</v>
      </c>
      <c r="F1042" s="3" t="s">
        <v>8055</v>
      </c>
    </row>
    <row r="1043" spans="1:6" x14ac:dyDescent="0.35">
      <c r="A1043" s="5">
        <f t="shared" ca="1" si="16"/>
        <v>45602</v>
      </c>
      <c r="B1043" s="3" t="s">
        <v>3597</v>
      </c>
      <c r="C1043" s="3" t="s">
        <v>3598</v>
      </c>
      <c r="D1043" s="3" t="s">
        <v>3599</v>
      </c>
      <c r="E1043" s="3" t="s">
        <v>8056</v>
      </c>
      <c r="F1043" s="3" t="s">
        <v>8057</v>
      </c>
    </row>
    <row r="1044" spans="1:6" x14ac:dyDescent="0.35">
      <c r="A1044" s="5">
        <f t="shared" ca="1" si="16"/>
        <v>45603</v>
      </c>
      <c r="B1044" s="3" t="s">
        <v>3600</v>
      </c>
      <c r="C1044" s="3" t="s">
        <v>3601</v>
      </c>
      <c r="D1044" s="3" t="s">
        <v>3602</v>
      </c>
      <c r="E1044" s="3" t="s">
        <v>8058</v>
      </c>
      <c r="F1044" s="3" t="s">
        <v>8059</v>
      </c>
    </row>
    <row r="1045" spans="1:6" x14ac:dyDescent="0.35">
      <c r="A1045" s="5">
        <f t="shared" ca="1" si="16"/>
        <v>45604</v>
      </c>
      <c r="B1045" s="3" t="s">
        <v>3603</v>
      </c>
      <c r="C1045" s="3" t="s">
        <v>3604</v>
      </c>
      <c r="D1045" s="3" t="s">
        <v>3605</v>
      </c>
      <c r="E1045" s="3" t="s">
        <v>8060</v>
      </c>
      <c r="F1045" s="3" t="s">
        <v>8061</v>
      </c>
    </row>
    <row r="1046" spans="1:6" x14ac:dyDescent="0.35">
      <c r="A1046" s="5">
        <f t="shared" ca="1" si="16"/>
        <v>45605</v>
      </c>
      <c r="B1046" s="3" t="s">
        <v>3606</v>
      </c>
      <c r="C1046" s="3" t="s">
        <v>3607</v>
      </c>
      <c r="D1046" s="3" t="s">
        <v>3608</v>
      </c>
      <c r="E1046" s="3" t="s">
        <v>8062</v>
      </c>
      <c r="F1046" s="3" t="s">
        <v>8063</v>
      </c>
    </row>
    <row r="1047" spans="1:6" x14ac:dyDescent="0.35">
      <c r="A1047" s="5">
        <f t="shared" ca="1" si="16"/>
        <v>45606</v>
      </c>
      <c r="B1047" s="3" t="s">
        <v>3609</v>
      </c>
      <c r="C1047" s="3" t="s">
        <v>3610</v>
      </c>
      <c r="D1047" s="3" t="s">
        <v>3611</v>
      </c>
      <c r="E1047" s="3" t="s">
        <v>8064</v>
      </c>
      <c r="F1047" s="3" t="s">
        <v>8065</v>
      </c>
    </row>
    <row r="1048" spans="1:6" x14ac:dyDescent="0.35">
      <c r="A1048" s="5">
        <f t="shared" ca="1" si="16"/>
        <v>45607</v>
      </c>
      <c r="B1048" s="3" t="s">
        <v>3612</v>
      </c>
      <c r="C1048" s="3" t="s">
        <v>3613</v>
      </c>
      <c r="D1048" s="3" t="s">
        <v>3614</v>
      </c>
      <c r="E1048" s="3" t="s">
        <v>8066</v>
      </c>
      <c r="F1048" s="3" t="s">
        <v>8067</v>
      </c>
    </row>
    <row r="1049" spans="1:6" x14ac:dyDescent="0.35">
      <c r="A1049" s="5">
        <f t="shared" ca="1" si="16"/>
        <v>45608</v>
      </c>
      <c r="B1049" s="3" t="s">
        <v>3615</v>
      </c>
      <c r="C1049" s="3" t="s">
        <v>3616</v>
      </c>
      <c r="D1049" s="3" t="s">
        <v>3617</v>
      </c>
      <c r="E1049" s="3" t="s">
        <v>8068</v>
      </c>
      <c r="F1049" s="3" t="s">
        <v>8069</v>
      </c>
    </row>
    <row r="1050" spans="1:6" x14ac:dyDescent="0.35">
      <c r="A1050" s="5">
        <f t="shared" ca="1" si="16"/>
        <v>45609</v>
      </c>
      <c r="B1050" s="3" t="s">
        <v>3618</v>
      </c>
      <c r="C1050" s="3" t="s">
        <v>3619</v>
      </c>
      <c r="D1050" s="3" t="s">
        <v>3620</v>
      </c>
      <c r="E1050" s="3" t="s">
        <v>8070</v>
      </c>
      <c r="F1050" s="3" t="s">
        <v>8071</v>
      </c>
    </row>
    <row r="1051" spans="1:6" x14ac:dyDescent="0.35">
      <c r="A1051" s="5">
        <f t="shared" ca="1" si="16"/>
        <v>45610</v>
      </c>
      <c r="B1051" s="3" t="s">
        <v>3621</v>
      </c>
      <c r="C1051" s="3" t="s">
        <v>3622</v>
      </c>
      <c r="D1051" s="3" t="s">
        <v>3623</v>
      </c>
      <c r="E1051" s="3" t="s">
        <v>8072</v>
      </c>
      <c r="F1051" s="3" t="s">
        <v>8073</v>
      </c>
    </row>
    <row r="1052" spans="1:6" x14ac:dyDescent="0.35">
      <c r="A1052" s="5">
        <f t="shared" ca="1" si="16"/>
        <v>45611</v>
      </c>
      <c r="B1052" s="3" t="s">
        <v>3624</v>
      </c>
      <c r="C1052" s="3" t="s">
        <v>3625</v>
      </c>
      <c r="D1052" s="3" t="s">
        <v>3626</v>
      </c>
      <c r="E1052" s="3" t="s">
        <v>8074</v>
      </c>
      <c r="F1052" s="3" t="s">
        <v>8075</v>
      </c>
    </row>
    <row r="1053" spans="1:6" x14ac:dyDescent="0.35">
      <c r="A1053" s="5">
        <f t="shared" ca="1" si="16"/>
        <v>45612</v>
      </c>
      <c r="B1053" s="3" t="s">
        <v>3627</v>
      </c>
      <c r="C1053" s="3" t="s">
        <v>3628</v>
      </c>
      <c r="D1053" s="3" t="s">
        <v>3629</v>
      </c>
      <c r="E1053" s="3" t="s">
        <v>8076</v>
      </c>
      <c r="F1053" s="3" t="s">
        <v>8077</v>
      </c>
    </row>
    <row r="1054" spans="1:6" x14ac:dyDescent="0.35">
      <c r="A1054" s="5">
        <f t="shared" ca="1" si="16"/>
        <v>45613</v>
      </c>
      <c r="B1054" s="3" t="s">
        <v>3630</v>
      </c>
      <c r="C1054" s="3" t="s">
        <v>3631</v>
      </c>
      <c r="D1054" s="3" t="s">
        <v>3632</v>
      </c>
      <c r="E1054" s="3" t="s">
        <v>8078</v>
      </c>
      <c r="F1054" s="3" t="s">
        <v>8079</v>
      </c>
    </row>
    <row r="1055" spans="1:6" x14ac:dyDescent="0.35">
      <c r="A1055" s="5">
        <f t="shared" ca="1" si="16"/>
        <v>45614</v>
      </c>
      <c r="B1055" s="3" t="s">
        <v>3633</v>
      </c>
      <c r="C1055" s="3" t="s">
        <v>3634</v>
      </c>
      <c r="D1055" s="3" t="s">
        <v>3635</v>
      </c>
      <c r="E1055" s="3" t="s">
        <v>8080</v>
      </c>
      <c r="F1055" s="3" t="s">
        <v>8081</v>
      </c>
    </row>
    <row r="1056" spans="1:6" x14ac:dyDescent="0.35">
      <c r="A1056" s="5">
        <f t="shared" ca="1" si="16"/>
        <v>45615</v>
      </c>
      <c r="B1056" s="3" t="s">
        <v>3636</v>
      </c>
      <c r="C1056" s="3" t="s">
        <v>3637</v>
      </c>
      <c r="D1056" s="3" t="s">
        <v>3638</v>
      </c>
      <c r="E1056" s="3" t="s">
        <v>8082</v>
      </c>
      <c r="F1056" s="3" t="s">
        <v>8083</v>
      </c>
    </row>
    <row r="1057" spans="1:6" x14ac:dyDescent="0.35">
      <c r="A1057" s="5">
        <f t="shared" ca="1" si="16"/>
        <v>45616</v>
      </c>
      <c r="B1057" s="3" t="s">
        <v>3639</v>
      </c>
      <c r="C1057" s="3" t="s">
        <v>3640</v>
      </c>
      <c r="D1057" s="3" t="s">
        <v>3641</v>
      </c>
      <c r="E1057" s="3" t="s">
        <v>8084</v>
      </c>
      <c r="F1057" s="3" t="s">
        <v>8085</v>
      </c>
    </row>
    <row r="1058" spans="1:6" x14ac:dyDescent="0.35">
      <c r="A1058" s="5">
        <f t="shared" ca="1" si="16"/>
        <v>45617</v>
      </c>
      <c r="B1058" s="3" t="s">
        <v>3642</v>
      </c>
      <c r="C1058" s="3" t="s">
        <v>3643</v>
      </c>
      <c r="D1058" s="3" t="s">
        <v>3644</v>
      </c>
      <c r="E1058" s="3" t="s">
        <v>8086</v>
      </c>
      <c r="F1058" s="3" t="s">
        <v>8087</v>
      </c>
    </row>
    <row r="1059" spans="1:6" x14ac:dyDescent="0.35">
      <c r="A1059" s="5">
        <f t="shared" ca="1" si="16"/>
        <v>45618</v>
      </c>
      <c r="B1059" s="3" t="s">
        <v>3645</v>
      </c>
      <c r="C1059" s="3" t="s">
        <v>3646</v>
      </c>
      <c r="D1059" s="3" t="s">
        <v>3647</v>
      </c>
      <c r="E1059" s="3" t="s">
        <v>8088</v>
      </c>
      <c r="F1059" s="3" t="s">
        <v>8089</v>
      </c>
    </row>
    <row r="1060" spans="1:6" x14ac:dyDescent="0.35">
      <c r="A1060" s="5">
        <f t="shared" ca="1" si="16"/>
        <v>45619</v>
      </c>
      <c r="B1060" s="3" t="s">
        <v>3648</v>
      </c>
      <c r="C1060" s="3" t="s">
        <v>3649</v>
      </c>
      <c r="D1060" s="3" t="s">
        <v>3650</v>
      </c>
      <c r="E1060" s="3" t="s">
        <v>8090</v>
      </c>
      <c r="F1060" s="3" t="s">
        <v>8091</v>
      </c>
    </row>
    <row r="1061" spans="1:6" x14ac:dyDescent="0.35">
      <c r="A1061" s="5">
        <f t="shared" ca="1" si="16"/>
        <v>45620</v>
      </c>
      <c r="B1061" s="3" t="s">
        <v>3651</v>
      </c>
      <c r="C1061" s="3" t="s">
        <v>3652</v>
      </c>
      <c r="D1061" s="3" t="s">
        <v>3653</v>
      </c>
      <c r="E1061" s="3" t="s">
        <v>8092</v>
      </c>
      <c r="F1061" s="3" t="s">
        <v>8093</v>
      </c>
    </row>
    <row r="1062" spans="1:6" x14ac:dyDescent="0.35">
      <c r="A1062" s="5">
        <f t="shared" ca="1" si="16"/>
        <v>45621</v>
      </c>
      <c r="B1062" s="3" t="s">
        <v>3654</v>
      </c>
      <c r="C1062" s="3" t="s">
        <v>3655</v>
      </c>
      <c r="D1062" s="3" t="s">
        <v>3656</v>
      </c>
      <c r="E1062" s="3" t="s">
        <v>8094</v>
      </c>
      <c r="F1062" s="3" t="s">
        <v>8095</v>
      </c>
    </row>
    <row r="1063" spans="1:6" x14ac:dyDescent="0.35">
      <c r="A1063" s="5">
        <f t="shared" ca="1" si="16"/>
        <v>45622</v>
      </c>
      <c r="B1063" s="3" t="s">
        <v>3657</v>
      </c>
      <c r="C1063" s="3" t="s">
        <v>3658</v>
      </c>
      <c r="D1063" s="3" t="s">
        <v>3659</v>
      </c>
      <c r="E1063" s="3" t="s">
        <v>8096</v>
      </c>
      <c r="F1063" s="3" t="s">
        <v>8097</v>
      </c>
    </row>
    <row r="1064" spans="1:6" x14ac:dyDescent="0.35">
      <c r="A1064" s="5">
        <f t="shared" ca="1" si="16"/>
        <v>45623</v>
      </c>
      <c r="B1064" s="3" t="s">
        <v>3660</v>
      </c>
      <c r="C1064" s="3" t="s">
        <v>3661</v>
      </c>
      <c r="D1064" s="3" t="s">
        <v>3662</v>
      </c>
      <c r="E1064" s="3" t="s">
        <v>8098</v>
      </c>
      <c r="F1064" s="3" t="s">
        <v>8099</v>
      </c>
    </row>
    <row r="1065" spans="1:6" x14ac:dyDescent="0.35">
      <c r="A1065" s="5">
        <f t="shared" ca="1" si="16"/>
        <v>45624</v>
      </c>
      <c r="B1065" s="3" t="s">
        <v>3663</v>
      </c>
      <c r="C1065" s="3" t="s">
        <v>3664</v>
      </c>
      <c r="D1065" s="3" t="s">
        <v>3665</v>
      </c>
      <c r="E1065" s="3" t="s">
        <v>8100</v>
      </c>
      <c r="F1065" s="3" t="s">
        <v>8101</v>
      </c>
    </row>
    <row r="1066" spans="1:6" x14ac:dyDescent="0.35">
      <c r="A1066" s="5">
        <f t="shared" ca="1" si="16"/>
        <v>45625</v>
      </c>
      <c r="B1066" s="3" t="s">
        <v>3666</v>
      </c>
      <c r="C1066" s="3" t="s">
        <v>3667</v>
      </c>
      <c r="D1066" s="3" t="s">
        <v>3668</v>
      </c>
      <c r="E1066" s="3" t="s">
        <v>8102</v>
      </c>
      <c r="F1066" s="3" t="s">
        <v>8103</v>
      </c>
    </row>
    <row r="1067" spans="1:6" x14ac:dyDescent="0.35">
      <c r="A1067" s="5">
        <f t="shared" ca="1" si="16"/>
        <v>45626</v>
      </c>
      <c r="B1067" s="3" t="s">
        <v>3669</v>
      </c>
      <c r="C1067" s="3" t="s">
        <v>3670</v>
      </c>
      <c r="D1067" s="3" t="s">
        <v>3671</v>
      </c>
      <c r="E1067" s="3" t="s">
        <v>8104</v>
      </c>
      <c r="F1067" s="3" t="s">
        <v>8105</v>
      </c>
    </row>
    <row r="1068" spans="1:6" x14ac:dyDescent="0.35">
      <c r="A1068" s="5">
        <f t="shared" ca="1" si="16"/>
        <v>45627</v>
      </c>
      <c r="B1068" s="3" t="s">
        <v>3672</v>
      </c>
      <c r="C1068" s="3" t="s">
        <v>3673</v>
      </c>
      <c r="D1068" s="3" t="s">
        <v>3674</v>
      </c>
      <c r="E1068" s="3" t="s">
        <v>8106</v>
      </c>
      <c r="F1068" s="3" t="s">
        <v>8107</v>
      </c>
    </row>
    <row r="1069" spans="1:6" x14ac:dyDescent="0.35">
      <c r="A1069" s="5">
        <f t="shared" ca="1" si="16"/>
        <v>45628</v>
      </c>
      <c r="B1069" s="3" t="s">
        <v>3675</v>
      </c>
      <c r="C1069" s="3" t="s">
        <v>3676</v>
      </c>
      <c r="D1069" s="3" t="s">
        <v>3677</v>
      </c>
      <c r="E1069" s="3" t="s">
        <v>8108</v>
      </c>
      <c r="F1069" s="3" t="s">
        <v>8109</v>
      </c>
    </row>
    <row r="1070" spans="1:6" x14ac:dyDescent="0.35">
      <c r="A1070" s="5">
        <f t="shared" ca="1" si="16"/>
        <v>45629</v>
      </c>
      <c r="B1070" s="3" t="s">
        <v>3678</v>
      </c>
      <c r="C1070" s="3" t="s">
        <v>3679</v>
      </c>
      <c r="D1070" s="3" t="s">
        <v>3680</v>
      </c>
      <c r="E1070" s="3" t="s">
        <v>8110</v>
      </c>
      <c r="F1070" s="3" t="s">
        <v>8111</v>
      </c>
    </row>
    <row r="1071" spans="1:6" x14ac:dyDescent="0.35">
      <c r="A1071" s="5">
        <f t="shared" ca="1" si="16"/>
        <v>45630</v>
      </c>
      <c r="B1071" s="3" t="s">
        <v>3681</v>
      </c>
      <c r="C1071" s="3" t="s">
        <v>3682</v>
      </c>
      <c r="D1071" s="3" t="s">
        <v>3683</v>
      </c>
      <c r="E1071" s="3" t="s">
        <v>8112</v>
      </c>
      <c r="F1071" s="3" t="s">
        <v>8113</v>
      </c>
    </row>
    <row r="1072" spans="1:6" x14ac:dyDescent="0.35">
      <c r="A1072" s="5">
        <f t="shared" ca="1" si="16"/>
        <v>45631</v>
      </c>
      <c r="B1072" s="3" t="s">
        <v>3684</v>
      </c>
      <c r="C1072" s="3" t="s">
        <v>3685</v>
      </c>
      <c r="D1072" s="3" t="s">
        <v>3686</v>
      </c>
      <c r="E1072" s="3" t="s">
        <v>8114</v>
      </c>
      <c r="F1072" s="3" t="s">
        <v>8115</v>
      </c>
    </row>
    <row r="1073" spans="1:6" x14ac:dyDescent="0.35">
      <c r="A1073" s="5">
        <f t="shared" ca="1" si="16"/>
        <v>45632</v>
      </c>
      <c r="B1073" s="3" t="s">
        <v>3687</v>
      </c>
      <c r="C1073" s="3" t="s">
        <v>3688</v>
      </c>
      <c r="D1073" s="3" t="s">
        <v>3689</v>
      </c>
      <c r="E1073" s="3" t="s">
        <v>8116</v>
      </c>
      <c r="F1073" s="3" t="s">
        <v>8117</v>
      </c>
    </row>
    <row r="1074" spans="1:6" x14ac:dyDescent="0.35">
      <c r="A1074" s="5">
        <f t="shared" ca="1" si="16"/>
        <v>45633</v>
      </c>
      <c r="B1074" s="3" t="s">
        <v>3690</v>
      </c>
      <c r="C1074" s="3" t="s">
        <v>3691</v>
      </c>
      <c r="D1074" s="3" t="s">
        <v>3692</v>
      </c>
      <c r="E1074" s="3" t="s">
        <v>8118</v>
      </c>
      <c r="F1074" s="3" t="s">
        <v>8119</v>
      </c>
    </row>
    <row r="1075" spans="1:6" x14ac:dyDescent="0.35">
      <c r="A1075" s="5">
        <f t="shared" ca="1" si="16"/>
        <v>45634</v>
      </c>
      <c r="B1075" s="3" t="s">
        <v>3693</v>
      </c>
      <c r="C1075" s="3" t="s">
        <v>3694</v>
      </c>
      <c r="D1075" s="3" t="s">
        <v>3695</v>
      </c>
      <c r="E1075" s="3" t="s">
        <v>8120</v>
      </c>
      <c r="F1075" s="3" t="s">
        <v>8121</v>
      </c>
    </row>
    <row r="1076" spans="1:6" x14ac:dyDescent="0.35">
      <c r="A1076" s="5">
        <f t="shared" ca="1" si="16"/>
        <v>45635</v>
      </c>
      <c r="B1076" s="3" t="s">
        <v>3696</v>
      </c>
      <c r="C1076" s="3" t="s">
        <v>3697</v>
      </c>
      <c r="D1076" s="3" t="s">
        <v>3698</v>
      </c>
      <c r="E1076" s="3" t="s">
        <v>8122</v>
      </c>
      <c r="F1076" s="3" t="s">
        <v>8123</v>
      </c>
    </row>
    <row r="1077" spans="1:6" x14ac:dyDescent="0.35">
      <c r="A1077" s="5">
        <f t="shared" ca="1" si="16"/>
        <v>45636</v>
      </c>
      <c r="B1077" s="3" t="s">
        <v>3699</v>
      </c>
      <c r="C1077" s="3" t="s">
        <v>3700</v>
      </c>
      <c r="D1077" s="3" t="s">
        <v>3701</v>
      </c>
      <c r="E1077" s="3" t="s">
        <v>8124</v>
      </c>
      <c r="F1077" s="3" t="s">
        <v>8125</v>
      </c>
    </row>
    <row r="1078" spans="1:6" x14ac:dyDescent="0.35">
      <c r="A1078" s="5">
        <f t="shared" ca="1" si="16"/>
        <v>45637</v>
      </c>
      <c r="B1078" s="3" t="s">
        <v>3702</v>
      </c>
      <c r="C1078" s="3" t="s">
        <v>3703</v>
      </c>
      <c r="D1078" s="3" t="s">
        <v>3704</v>
      </c>
      <c r="E1078" s="3" t="s">
        <v>8126</v>
      </c>
      <c r="F1078" s="3" t="s">
        <v>8127</v>
      </c>
    </row>
    <row r="1079" spans="1:6" x14ac:dyDescent="0.35">
      <c r="A1079" s="5">
        <f t="shared" ca="1" si="16"/>
        <v>45638</v>
      </c>
      <c r="B1079" s="3" t="s">
        <v>3705</v>
      </c>
      <c r="C1079" s="3" t="s">
        <v>3706</v>
      </c>
      <c r="D1079" s="3" t="s">
        <v>3707</v>
      </c>
      <c r="E1079" s="3" t="s">
        <v>8128</v>
      </c>
      <c r="F1079" s="3" t="s">
        <v>8129</v>
      </c>
    </row>
    <row r="1080" spans="1:6" x14ac:dyDescent="0.35">
      <c r="A1080" s="5">
        <f t="shared" ca="1" si="16"/>
        <v>45639</v>
      </c>
      <c r="B1080" s="3" t="s">
        <v>3708</v>
      </c>
      <c r="C1080" s="3" t="s">
        <v>3709</v>
      </c>
      <c r="D1080" s="3" t="s">
        <v>3710</v>
      </c>
      <c r="E1080" s="3" t="s">
        <v>8130</v>
      </c>
      <c r="F1080" s="3" t="s">
        <v>8131</v>
      </c>
    </row>
    <row r="1081" spans="1:6" x14ac:dyDescent="0.35">
      <c r="A1081" s="5">
        <f t="shared" ca="1" si="16"/>
        <v>45640</v>
      </c>
      <c r="B1081" s="3" t="s">
        <v>3711</v>
      </c>
      <c r="C1081" s="3" t="s">
        <v>3712</v>
      </c>
      <c r="D1081" s="3" t="s">
        <v>3713</v>
      </c>
      <c r="E1081" s="3" t="s">
        <v>8132</v>
      </c>
      <c r="F1081" s="3" t="s">
        <v>8133</v>
      </c>
    </row>
    <row r="1082" spans="1:6" x14ac:dyDescent="0.35">
      <c r="A1082" s="5">
        <f t="shared" ca="1" si="16"/>
        <v>45641</v>
      </c>
      <c r="B1082" s="3" t="s">
        <v>3714</v>
      </c>
      <c r="C1082" s="3" t="s">
        <v>3715</v>
      </c>
      <c r="D1082" s="3" t="s">
        <v>3716</v>
      </c>
      <c r="E1082" s="3" t="s">
        <v>8134</v>
      </c>
      <c r="F1082" s="3" t="s">
        <v>8135</v>
      </c>
    </row>
    <row r="1083" spans="1:6" x14ac:dyDescent="0.35">
      <c r="A1083" s="5">
        <f t="shared" ca="1" si="16"/>
        <v>45642</v>
      </c>
      <c r="B1083" s="3" t="s">
        <v>3717</v>
      </c>
      <c r="C1083" s="3" t="s">
        <v>3718</v>
      </c>
      <c r="D1083" s="3" t="s">
        <v>3719</v>
      </c>
      <c r="E1083" s="3" t="s">
        <v>8136</v>
      </c>
      <c r="F1083" s="3" t="s">
        <v>8137</v>
      </c>
    </row>
    <row r="1084" spans="1:6" x14ac:dyDescent="0.35">
      <c r="A1084" s="5">
        <f t="shared" ca="1" si="16"/>
        <v>45643</v>
      </c>
      <c r="B1084" s="3" t="s">
        <v>3720</v>
      </c>
      <c r="C1084" s="3" t="s">
        <v>3721</v>
      </c>
      <c r="D1084" s="3" t="s">
        <v>3722</v>
      </c>
      <c r="E1084" s="3" t="s">
        <v>8138</v>
      </c>
      <c r="F1084" s="3" t="s">
        <v>8139</v>
      </c>
    </row>
    <row r="1085" spans="1:6" x14ac:dyDescent="0.35">
      <c r="A1085" s="5">
        <f t="shared" ca="1" si="16"/>
        <v>45644</v>
      </c>
      <c r="B1085" s="3" t="s">
        <v>3723</v>
      </c>
      <c r="C1085" s="3" t="s">
        <v>3724</v>
      </c>
      <c r="D1085" s="3" t="s">
        <v>3725</v>
      </c>
      <c r="E1085" s="3" t="s">
        <v>8140</v>
      </c>
      <c r="F1085" s="3" t="s">
        <v>8141</v>
      </c>
    </row>
    <row r="1086" spans="1:6" x14ac:dyDescent="0.35">
      <c r="A1086" s="5">
        <f t="shared" ca="1" si="16"/>
        <v>45645</v>
      </c>
      <c r="B1086" s="3" t="s">
        <v>3726</v>
      </c>
      <c r="C1086" s="3" t="s">
        <v>3727</v>
      </c>
      <c r="D1086" s="3" t="s">
        <v>3728</v>
      </c>
      <c r="E1086" s="3" t="s">
        <v>8142</v>
      </c>
      <c r="F1086" s="3" t="s">
        <v>8143</v>
      </c>
    </row>
    <row r="1087" spans="1:6" x14ac:dyDescent="0.35">
      <c r="A1087" s="5">
        <f t="shared" ca="1" si="16"/>
        <v>45646</v>
      </c>
      <c r="B1087" s="3" t="s">
        <v>3729</v>
      </c>
      <c r="C1087" s="3" t="s">
        <v>3730</v>
      </c>
      <c r="D1087" s="3" t="s">
        <v>3731</v>
      </c>
      <c r="E1087" s="3" t="s">
        <v>8144</v>
      </c>
      <c r="F1087" s="3" t="s">
        <v>8145</v>
      </c>
    </row>
    <row r="1088" spans="1:6" x14ac:dyDescent="0.35">
      <c r="A1088" s="5">
        <f t="shared" ca="1" si="16"/>
        <v>45647</v>
      </c>
      <c r="B1088" s="3" t="s">
        <v>3732</v>
      </c>
      <c r="C1088" s="3" t="s">
        <v>3733</v>
      </c>
      <c r="D1088" s="3" t="s">
        <v>3734</v>
      </c>
      <c r="E1088" s="3" t="s">
        <v>8146</v>
      </c>
      <c r="F1088" s="3" t="s">
        <v>8147</v>
      </c>
    </row>
    <row r="1089" spans="1:6" x14ac:dyDescent="0.35">
      <c r="A1089" s="5">
        <f t="shared" ca="1" si="16"/>
        <v>45648</v>
      </c>
      <c r="B1089" s="3" t="s">
        <v>3735</v>
      </c>
      <c r="C1089" s="3" t="s">
        <v>3736</v>
      </c>
      <c r="D1089" s="3" t="s">
        <v>3737</v>
      </c>
      <c r="E1089" s="3" t="s">
        <v>8148</v>
      </c>
      <c r="F1089" s="3" t="s">
        <v>8149</v>
      </c>
    </row>
    <row r="1090" spans="1:6" x14ac:dyDescent="0.35">
      <c r="A1090" s="5">
        <f t="shared" ca="1" si="16"/>
        <v>45649</v>
      </c>
      <c r="B1090" s="3" t="s">
        <v>3738</v>
      </c>
      <c r="C1090" s="3" t="s">
        <v>3739</v>
      </c>
      <c r="D1090" s="3" t="s">
        <v>3740</v>
      </c>
      <c r="E1090" s="3" t="s">
        <v>8150</v>
      </c>
      <c r="F1090" s="3" t="s">
        <v>8151</v>
      </c>
    </row>
    <row r="1091" spans="1:6" x14ac:dyDescent="0.35">
      <c r="A1091" s="5">
        <f t="shared" ca="1" si="16"/>
        <v>45650</v>
      </c>
      <c r="B1091" s="3" t="s">
        <v>3741</v>
      </c>
      <c r="C1091" s="3" t="s">
        <v>3742</v>
      </c>
      <c r="D1091" s="3" t="s">
        <v>3743</v>
      </c>
      <c r="E1091" s="3" t="s">
        <v>8152</v>
      </c>
      <c r="F1091" s="3" t="s">
        <v>8153</v>
      </c>
    </row>
    <row r="1092" spans="1:6" x14ac:dyDescent="0.35">
      <c r="A1092" s="5">
        <f t="shared" ca="1" si="16"/>
        <v>45651</v>
      </c>
      <c r="B1092" s="3" t="s">
        <v>3744</v>
      </c>
      <c r="C1092" s="3" t="s">
        <v>3745</v>
      </c>
      <c r="D1092" s="3" t="s">
        <v>3746</v>
      </c>
      <c r="E1092" s="3" t="s">
        <v>8154</v>
      </c>
      <c r="F1092" s="3" t="s">
        <v>8155</v>
      </c>
    </row>
    <row r="1093" spans="1:6" x14ac:dyDescent="0.35">
      <c r="A1093" s="5">
        <f t="shared" ref="A1093:A1098" ca="1" si="17">A1092+1</f>
        <v>45652</v>
      </c>
      <c r="B1093" s="3" t="s">
        <v>3747</v>
      </c>
      <c r="C1093" s="3" t="s">
        <v>3748</v>
      </c>
      <c r="D1093" s="3" t="s">
        <v>3749</v>
      </c>
      <c r="E1093" s="3" t="s">
        <v>8156</v>
      </c>
      <c r="F1093" s="3" t="s">
        <v>8157</v>
      </c>
    </row>
    <row r="1094" spans="1:6" x14ac:dyDescent="0.35">
      <c r="A1094" s="5">
        <f t="shared" ca="1" si="17"/>
        <v>45653</v>
      </c>
      <c r="B1094" s="3" t="s">
        <v>3750</v>
      </c>
      <c r="C1094" s="3" t="s">
        <v>3751</v>
      </c>
      <c r="D1094" s="3" t="s">
        <v>3752</v>
      </c>
      <c r="E1094" s="3" t="s">
        <v>8158</v>
      </c>
      <c r="F1094" s="3" t="s">
        <v>8159</v>
      </c>
    </row>
    <row r="1095" spans="1:6" x14ac:dyDescent="0.35">
      <c r="A1095" s="5">
        <f t="shared" ca="1" si="17"/>
        <v>45654</v>
      </c>
      <c r="B1095" s="3" t="s">
        <v>3753</v>
      </c>
      <c r="C1095" s="3" t="s">
        <v>3754</v>
      </c>
      <c r="D1095" s="3" t="s">
        <v>3755</v>
      </c>
      <c r="E1095" s="3" t="s">
        <v>8160</v>
      </c>
      <c r="F1095" s="3" t="s">
        <v>8161</v>
      </c>
    </row>
    <row r="1096" spans="1:6" x14ac:dyDescent="0.35">
      <c r="A1096" s="5">
        <f t="shared" ca="1" si="17"/>
        <v>45655</v>
      </c>
      <c r="B1096" s="3" t="s">
        <v>3756</v>
      </c>
      <c r="C1096" s="3" t="s">
        <v>3757</v>
      </c>
      <c r="D1096" s="3" t="s">
        <v>3758</v>
      </c>
      <c r="E1096" s="3" t="s">
        <v>8162</v>
      </c>
      <c r="F1096" s="3" t="s">
        <v>8163</v>
      </c>
    </row>
    <row r="1097" spans="1:6" x14ac:dyDescent="0.35">
      <c r="A1097" s="5">
        <f t="shared" ca="1" si="17"/>
        <v>45656</v>
      </c>
      <c r="B1097" s="3" t="s">
        <v>3759</v>
      </c>
      <c r="C1097" s="3" t="s">
        <v>3760</v>
      </c>
      <c r="D1097" s="3" t="s">
        <v>3761</v>
      </c>
      <c r="E1097" s="3" t="s">
        <v>8164</v>
      </c>
      <c r="F1097" s="3" t="s">
        <v>8165</v>
      </c>
    </row>
    <row r="1098" spans="1:6" x14ac:dyDescent="0.35">
      <c r="A1098" s="5">
        <f t="shared" ca="1" si="17"/>
        <v>45657</v>
      </c>
      <c r="B1098" s="3" t="s">
        <v>3762</v>
      </c>
      <c r="C1098" s="3" t="s">
        <v>3763</v>
      </c>
      <c r="D1098" s="3" t="s">
        <v>3764</v>
      </c>
      <c r="E1098" s="3" t="s">
        <v>8166</v>
      </c>
      <c r="F1098" s="3" t="s">
        <v>8167</v>
      </c>
    </row>
    <row r="1099" spans="1:6" x14ac:dyDescent="0.35">
      <c r="A1099" s="4"/>
    </row>
    <row r="1100" spans="1:6" x14ac:dyDescent="0.35">
      <c r="A1100" s="4"/>
    </row>
    <row r="1101" spans="1:6" x14ac:dyDescent="0.35">
      <c r="A1101" s="4"/>
    </row>
    <row r="1102" spans="1:6" x14ac:dyDescent="0.35">
      <c r="A1102" s="4"/>
    </row>
    <row r="1103" spans="1:6" x14ac:dyDescent="0.35">
      <c r="A1103" s="4"/>
    </row>
    <row r="1104" spans="1:6" x14ac:dyDescent="0.35">
      <c r="A1104" s="4"/>
    </row>
    <row r="1105" spans="1:1" x14ac:dyDescent="0.35">
      <c r="A1105" s="4"/>
    </row>
    <row r="1106" spans="1:1" x14ac:dyDescent="0.35">
      <c r="A1106" s="4"/>
    </row>
    <row r="1107" spans="1:1" x14ac:dyDescent="0.35">
      <c r="A1107" s="4"/>
    </row>
    <row r="1108" spans="1:1" x14ac:dyDescent="0.35">
      <c r="A1108" s="4"/>
    </row>
    <row r="1109" spans="1:1" x14ac:dyDescent="0.35">
      <c r="A1109" s="4"/>
    </row>
    <row r="1110" spans="1:1" x14ac:dyDescent="0.35">
      <c r="A1110" s="4"/>
    </row>
    <row r="1111" spans="1:1" x14ac:dyDescent="0.35">
      <c r="A1111" s="4"/>
    </row>
    <row r="1112" spans="1:1" x14ac:dyDescent="0.35">
      <c r="A1112" s="4"/>
    </row>
    <row r="1113" spans="1:1" x14ac:dyDescent="0.35">
      <c r="A1113" s="4"/>
    </row>
    <row r="1114" spans="1:1" x14ac:dyDescent="0.35">
      <c r="A1114" s="4"/>
    </row>
    <row r="1115" spans="1:1" x14ac:dyDescent="0.35">
      <c r="A1115" s="4"/>
    </row>
    <row r="1116" spans="1:1" x14ac:dyDescent="0.35">
      <c r="A1116" s="4"/>
    </row>
    <row r="1117" spans="1:1" x14ac:dyDescent="0.35">
      <c r="A1117" s="4"/>
    </row>
    <row r="1118" spans="1:1" x14ac:dyDescent="0.35">
      <c r="A1118" s="4"/>
    </row>
    <row r="1119" spans="1:1" x14ac:dyDescent="0.35">
      <c r="A1119" s="4"/>
    </row>
    <row r="1120" spans="1:1" x14ac:dyDescent="0.35">
      <c r="A1120" s="4"/>
    </row>
    <row r="1121" spans="1:1" x14ac:dyDescent="0.35">
      <c r="A1121" s="4"/>
    </row>
    <row r="1122" spans="1:1" x14ac:dyDescent="0.35">
      <c r="A1122" s="4"/>
    </row>
    <row r="1123" spans="1:1" x14ac:dyDescent="0.35">
      <c r="A1123" s="4"/>
    </row>
    <row r="1124" spans="1:1" x14ac:dyDescent="0.35">
      <c r="A1124" s="4"/>
    </row>
    <row r="1125" spans="1:1" x14ac:dyDescent="0.35">
      <c r="A1125" s="4"/>
    </row>
    <row r="1126" spans="1:1" x14ac:dyDescent="0.35">
      <c r="A1126" s="4"/>
    </row>
    <row r="1127" spans="1:1" x14ac:dyDescent="0.35">
      <c r="A1127" s="4"/>
    </row>
    <row r="1128" spans="1:1" x14ac:dyDescent="0.35">
      <c r="A1128" s="4"/>
    </row>
    <row r="1129" spans="1:1" x14ac:dyDescent="0.35">
      <c r="A1129" s="4"/>
    </row>
    <row r="1130" spans="1:1" x14ac:dyDescent="0.35">
      <c r="A1130" s="4"/>
    </row>
    <row r="1131" spans="1:1" x14ac:dyDescent="0.35">
      <c r="A1131" s="4"/>
    </row>
    <row r="1132" spans="1:1" x14ac:dyDescent="0.35">
      <c r="A1132" s="4"/>
    </row>
    <row r="1133" spans="1:1" x14ac:dyDescent="0.35">
      <c r="A1133" s="4"/>
    </row>
    <row r="1134" spans="1:1" x14ac:dyDescent="0.35">
      <c r="A1134" s="4"/>
    </row>
    <row r="1135" spans="1:1" x14ac:dyDescent="0.35">
      <c r="A1135" s="4"/>
    </row>
    <row r="1136" spans="1:1" x14ac:dyDescent="0.35">
      <c r="A1136" s="4"/>
    </row>
    <row r="1137" spans="1:1" x14ac:dyDescent="0.35">
      <c r="A1137" s="4"/>
    </row>
    <row r="1138" spans="1:1" x14ac:dyDescent="0.35">
      <c r="A1138" s="4"/>
    </row>
    <row r="1139" spans="1:1" x14ac:dyDescent="0.35">
      <c r="A1139" s="4"/>
    </row>
    <row r="1140" spans="1:1" x14ac:dyDescent="0.35">
      <c r="A1140" s="4"/>
    </row>
    <row r="1141" spans="1:1" x14ac:dyDescent="0.35">
      <c r="A1141" s="4"/>
    </row>
    <row r="1142" spans="1:1" x14ac:dyDescent="0.35">
      <c r="A1142" s="4"/>
    </row>
    <row r="1143" spans="1:1" x14ac:dyDescent="0.35">
      <c r="A1143" s="4"/>
    </row>
    <row r="1144" spans="1:1" x14ac:dyDescent="0.35">
      <c r="A1144" s="4"/>
    </row>
    <row r="1145" spans="1:1" x14ac:dyDescent="0.35">
      <c r="A1145" s="4"/>
    </row>
    <row r="1146" spans="1:1" x14ac:dyDescent="0.35">
      <c r="A1146" s="4"/>
    </row>
    <row r="1147" spans="1:1" x14ac:dyDescent="0.35">
      <c r="A1147" s="4"/>
    </row>
    <row r="1148" spans="1:1" x14ac:dyDescent="0.35">
      <c r="A1148" s="4"/>
    </row>
    <row r="1149" spans="1:1" x14ac:dyDescent="0.35">
      <c r="A1149" s="4"/>
    </row>
    <row r="1150" spans="1:1" x14ac:dyDescent="0.35">
      <c r="A1150" s="4"/>
    </row>
    <row r="1151" spans="1:1" x14ac:dyDescent="0.35">
      <c r="A1151" s="4"/>
    </row>
    <row r="1152" spans="1:1" x14ac:dyDescent="0.35">
      <c r="A1152" s="4"/>
    </row>
    <row r="1153" spans="1:1" x14ac:dyDescent="0.35">
      <c r="A1153" s="4"/>
    </row>
    <row r="1154" spans="1:1" x14ac:dyDescent="0.35">
      <c r="A1154" s="4"/>
    </row>
    <row r="1155" spans="1:1" x14ac:dyDescent="0.35">
      <c r="A1155" s="4"/>
    </row>
    <row r="1156" spans="1:1" x14ac:dyDescent="0.35">
      <c r="A1156" s="4"/>
    </row>
    <row r="1157" spans="1:1" x14ac:dyDescent="0.35">
      <c r="A1157" s="4"/>
    </row>
    <row r="1158" spans="1:1" x14ac:dyDescent="0.35">
      <c r="A1158" s="4"/>
    </row>
    <row r="1159" spans="1:1" x14ac:dyDescent="0.35">
      <c r="A1159" s="4"/>
    </row>
    <row r="1160" spans="1:1" x14ac:dyDescent="0.35">
      <c r="A1160" s="4"/>
    </row>
    <row r="1161" spans="1:1" x14ac:dyDescent="0.35">
      <c r="A1161" s="4"/>
    </row>
    <row r="1162" spans="1:1" x14ac:dyDescent="0.35">
      <c r="A1162" s="4"/>
    </row>
    <row r="1163" spans="1:1" x14ac:dyDescent="0.35">
      <c r="A1163" s="4"/>
    </row>
    <row r="1164" spans="1:1" x14ac:dyDescent="0.35">
      <c r="A1164" s="4"/>
    </row>
    <row r="1165" spans="1:1" x14ac:dyDescent="0.35">
      <c r="A1165" s="4"/>
    </row>
    <row r="1166" spans="1:1" x14ac:dyDescent="0.35">
      <c r="A1166" s="4"/>
    </row>
    <row r="1167" spans="1:1" x14ac:dyDescent="0.35">
      <c r="A1167" s="4"/>
    </row>
    <row r="1168" spans="1:1" x14ac:dyDescent="0.35">
      <c r="A1168" s="4"/>
    </row>
    <row r="1169" spans="1:1" x14ac:dyDescent="0.35">
      <c r="A1169" s="4"/>
    </row>
    <row r="1170" spans="1:1" x14ac:dyDescent="0.35">
      <c r="A1170" s="4"/>
    </row>
    <row r="1171" spans="1:1" x14ac:dyDescent="0.35">
      <c r="A1171" s="4"/>
    </row>
    <row r="1172" spans="1:1" x14ac:dyDescent="0.35">
      <c r="A1172" s="4"/>
    </row>
    <row r="1173" spans="1:1" x14ac:dyDescent="0.35">
      <c r="A1173" s="4"/>
    </row>
    <row r="1174" spans="1:1" x14ac:dyDescent="0.35">
      <c r="A1174" s="4"/>
    </row>
    <row r="1175" spans="1:1" x14ac:dyDescent="0.35">
      <c r="A1175" s="4"/>
    </row>
    <row r="1176" spans="1:1" x14ac:dyDescent="0.35">
      <c r="A1176" s="4"/>
    </row>
    <row r="1177" spans="1:1" x14ac:dyDescent="0.35">
      <c r="A1177" s="4"/>
    </row>
    <row r="1178" spans="1:1" x14ac:dyDescent="0.35">
      <c r="A1178" s="4"/>
    </row>
    <row r="1179" spans="1:1" x14ac:dyDescent="0.35">
      <c r="A1179" s="4"/>
    </row>
    <row r="1180" spans="1:1" x14ac:dyDescent="0.35">
      <c r="A1180" s="4"/>
    </row>
    <row r="1181" spans="1:1" x14ac:dyDescent="0.35">
      <c r="A1181" s="4"/>
    </row>
    <row r="1182" spans="1:1" x14ac:dyDescent="0.35">
      <c r="A1182" s="4"/>
    </row>
    <row r="1183" spans="1:1" x14ac:dyDescent="0.35">
      <c r="A1183" s="4"/>
    </row>
    <row r="1184" spans="1:1" x14ac:dyDescent="0.35">
      <c r="A1184" s="4"/>
    </row>
    <row r="1185" spans="1:1" x14ac:dyDescent="0.35">
      <c r="A1185" s="4"/>
    </row>
    <row r="1186" spans="1:1" x14ac:dyDescent="0.35">
      <c r="A1186" s="4"/>
    </row>
    <row r="1187" spans="1:1" x14ac:dyDescent="0.35">
      <c r="A1187" s="4"/>
    </row>
    <row r="1188" spans="1:1" x14ac:dyDescent="0.35">
      <c r="A1188" s="4"/>
    </row>
    <row r="1189" spans="1:1" x14ac:dyDescent="0.35">
      <c r="A1189" s="4"/>
    </row>
    <row r="1190" spans="1:1" x14ac:dyDescent="0.35">
      <c r="A1190" s="4"/>
    </row>
    <row r="1191" spans="1:1" x14ac:dyDescent="0.35">
      <c r="A1191" s="4"/>
    </row>
    <row r="1192" spans="1:1" x14ac:dyDescent="0.35">
      <c r="A1192" s="4"/>
    </row>
    <row r="1193" spans="1:1" x14ac:dyDescent="0.35">
      <c r="A1193" s="4"/>
    </row>
    <row r="1194" spans="1:1" x14ac:dyDescent="0.35">
      <c r="A1194" s="4"/>
    </row>
    <row r="1195" spans="1:1" x14ac:dyDescent="0.35">
      <c r="A1195" s="4"/>
    </row>
    <row r="1196" spans="1:1" x14ac:dyDescent="0.35">
      <c r="A1196" s="4"/>
    </row>
    <row r="1197" spans="1:1" x14ac:dyDescent="0.35">
      <c r="A1197" s="4"/>
    </row>
    <row r="1198" spans="1:1" x14ac:dyDescent="0.35">
      <c r="A1198" s="4"/>
    </row>
    <row r="1199" spans="1:1" x14ac:dyDescent="0.35">
      <c r="A1199" s="4"/>
    </row>
    <row r="1200" spans="1:1" x14ac:dyDescent="0.35">
      <c r="A1200" s="4"/>
    </row>
    <row r="1201" spans="1:1" x14ac:dyDescent="0.35">
      <c r="A1201" s="4"/>
    </row>
    <row r="1202" spans="1:1" x14ac:dyDescent="0.35">
      <c r="A1202" s="4"/>
    </row>
    <row r="1203" spans="1:1" x14ac:dyDescent="0.35">
      <c r="A1203" s="4"/>
    </row>
    <row r="1204" spans="1:1" x14ac:dyDescent="0.35">
      <c r="A1204" s="4"/>
    </row>
    <row r="1205" spans="1:1" x14ac:dyDescent="0.35">
      <c r="A1205" s="4"/>
    </row>
    <row r="1206" spans="1:1" x14ac:dyDescent="0.35">
      <c r="A1206" s="4"/>
    </row>
    <row r="1207" spans="1:1" x14ac:dyDescent="0.35">
      <c r="A1207" s="4"/>
    </row>
    <row r="1208" spans="1:1" x14ac:dyDescent="0.35">
      <c r="A1208" s="4"/>
    </row>
    <row r="1209" spans="1:1" x14ac:dyDescent="0.35">
      <c r="A1209" s="4"/>
    </row>
    <row r="1210" spans="1:1" x14ac:dyDescent="0.35">
      <c r="A1210" s="4"/>
    </row>
    <row r="1211" spans="1:1" x14ac:dyDescent="0.35">
      <c r="A1211" s="4"/>
    </row>
    <row r="1212" spans="1:1" x14ac:dyDescent="0.35">
      <c r="A1212" s="4"/>
    </row>
    <row r="1213" spans="1:1" x14ac:dyDescent="0.35">
      <c r="A1213" s="4"/>
    </row>
    <row r="1214" spans="1:1" x14ac:dyDescent="0.35">
      <c r="A1214" s="4"/>
    </row>
    <row r="1215" spans="1:1" x14ac:dyDescent="0.35">
      <c r="A1215" s="4"/>
    </row>
    <row r="1216" spans="1:1" x14ac:dyDescent="0.35">
      <c r="A1216" s="4"/>
    </row>
    <row r="1217" spans="1:1" x14ac:dyDescent="0.35">
      <c r="A1217" s="4"/>
    </row>
    <row r="1218" spans="1:1" x14ac:dyDescent="0.35">
      <c r="A1218" s="4"/>
    </row>
    <row r="1219" spans="1:1" x14ac:dyDescent="0.35">
      <c r="A1219" s="4"/>
    </row>
    <row r="1220" spans="1:1" x14ac:dyDescent="0.35">
      <c r="A1220" s="4"/>
    </row>
    <row r="1221" spans="1:1" x14ac:dyDescent="0.35">
      <c r="A1221" s="4"/>
    </row>
    <row r="1222" spans="1:1" x14ac:dyDescent="0.35">
      <c r="A1222" s="4"/>
    </row>
    <row r="1223" spans="1:1" x14ac:dyDescent="0.35">
      <c r="A1223" s="4"/>
    </row>
    <row r="1224" spans="1:1" x14ac:dyDescent="0.35">
      <c r="A1224" s="4"/>
    </row>
    <row r="1225" spans="1:1" x14ac:dyDescent="0.35">
      <c r="A1225" s="4"/>
    </row>
    <row r="1226" spans="1:1" x14ac:dyDescent="0.35">
      <c r="A1226" s="4"/>
    </row>
    <row r="1227" spans="1:1" x14ac:dyDescent="0.35">
      <c r="A1227" s="4"/>
    </row>
    <row r="1228" spans="1:1" x14ac:dyDescent="0.35">
      <c r="A1228" s="4"/>
    </row>
    <row r="1229" spans="1:1" x14ac:dyDescent="0.35">
      <c r="A1229" s="4"/>
    </row>
    <row r="1230" spans="1:1" x14ac:dyDescent="0.35">
      <c r="A1230" s="4"/>
    </row>
    <row r="1231" spans="1:1" x14ac:dyDescent="0.35">
      <c r="A1231" s="4"/>
    </row>
    <row r="1232" spans="1:1" x14ac:dyDescent="0.35">
      <c r="A1232" s="4"/>
    </row>
    <row r="1233" spans="1:1" x14ac:dyDescent="0.35">
      <c r="A1233" s="4"/>
    </row>
    <row r="1234" spans="1:1" x14ac:dyDescent="0.35">
      <c r="A1234" s="4"/>
    </row>
    <row r="1235" spans="1:1" x14ac:dyDescent="0.35">
      <c r="A1235" s="4"/>
    </row>
    <row r="1236" spans="1:1" x14ac:dyDescent="0.35">
      <c r="A1236" s="4"/>
    </row>
    <row r="1237" spans="1:1" x14ac:dyDescent="0.35">
      <c r="A1237" s="4"/>
    </row>
    <row r="1238" spans="1:1" x14ac:dyDescent="0.35">
      <c r="A1238" s="4"/>
    </row>
    <row r="1239" spans="1:1" x14ac:dyDescent="0.35">
      <c r="A1239" s="4"/>
    </row>
    <row r="1240" spans="1:1" x14ac:dyDescent="0.35">
      <c r="A1240" s="4"/>
    </row>
    <row r="1241" spans="1:1" x14ac:dyDescent="0.35">
      <c r="A1241" s="4"/>
    </row>
    <row r="1242" spans="1:1" x14ac:dyDescent="0.35">
      <c r="A1242" s="4"/>
    </row>
    <row r="1243" spans="1:1" x14ac:dyDescent="0.35">
      <c r="A1243" s="4"/>
    </row>
    <row r="1244" spans="1:1" x14ac:dyDescent="0.35">
      <c r="A1244" s="4"/>
    </row>
    <row r="1245" spans="1:1" x14ac:dyDescent="0.35">
      <c r="A1245" s="4"/>
    </row>
    <row r="1246" spans="1:1" x14ac:dyDescent="0.35">
      <c r="A1246" s="4"/>
    </row>
    <row r="1247" spans="1:1" x14ac:dyDescent="0.35">
      <c r="A1247" s="4"/>
    </row>
    <row r="1248" spans="1:1" x14ac:dyDescent="0.35">
      <c r="A1248" s="4"/>
    </row>
    <row r="1249" spans="1:1" x14ac:dyDescent="0.35">
      <c r="A1249" s="4"/>
    </row>
    <row r="1250" spans="1:1" x14ac:dyDescent="0.35">
      <c r="A1250" s="4"/>
    </row>
    <row r="1251" spans="1:1" x14ac:dyDescent="0.35">
      <c r="A1251" s="4"/>
    </row>
    <row r="1252" spans="1:1" x14ac:dyDescent="0.35">
      <c r="A1252" s="4"/>
    </row>
    <row r="1253" spans="1:1" x14ac:dyDescent="0.35">
      <c r="A1253" s="4"/>
    </row>
    <row r="1254" spans="1:1" x14ac:dyDescent="0.35">
      <c r="A1254" s="4"/>
    </row>
    <row r="1255" spans="1:1" x14ac:dyDescent="0.35">
      <c r="A1255" s="4"/>
    </row>
    <row r="1256" spans="1:1" x14ac:dyDescent="0.35">
      <c r="A1256" s="4"/>
    </row>
    <row r="1257" spans="1:1" x14ac:dyDescent="0.35">
      <c r="A1257" s="4"/>
    </row>
    <row r="1258" spans="1:1" x14ac:dyDescent="0.35">
      <c r="A1258" s="4"/>
    </row>
    <row r="1259" spans="1:1" x14ac:dyDescent="0.35">
      <c r="A1259" s="4"/>
    </row>
    <row r="1260" spans="1:1" x14ac:dyDescent="0.35">
      <c r="A1260" s="4"/>
    </row>
    <row r="1261" spans="1:1" x14ac:dyDescent="0.35">
      <c r="A1261" s="4"/>
    </row>
    <row r="1262" spans="1:1" x14ac:dyDescent="0.35">
      <c r="A1262" s="4"/>
    </row>
    <row r="1263" spans="1:1" x14ac:dyDescent="0.35">
      <c r="A1263" s="4"/>
    </row>
    <row r="1264" spans="1:1" x14ac:dyDescent="0.35">
      <c r="A1264" s="4"/>
    </row>
    <row r="1265" spans="1:1" x14ac:dyDescent="0.35">
      <c r="A1265" s="4"/>
    </row>
    <row r="1266" spans="1:1" x14ac:dyDescent="0.35">
      <c r="A1266" s="4"/>
    </row>
    <row r="1267" spans="1:1" x14ac:dyDescent="0.35">
      <c r="A1267" s="4"/>
    </row>
    <row r="1268" spans="1:1" x14ac:dyDescent="0.35">
      <c r="A1268" s="4"/>
    </row>
    <row r="1269" spans="1:1" x14ac:dyDescent="0.35">
      <c r="A1269" s="4"/>
    </row>
    <row r="1270" spans="1:1" x14ac:dyDescent="0.35">
      <c r="A1270" s="4"/>
    </row>
    <row r="1271" spans="1:1" x14ac:dyDescent="0.35">
      <c r="A1271" s="4"/>
    </row>
    <row r="1272" spans="1:1" x14ac:dyDescent="0.35">
      <c r="A1272" s="4"/>
    </row>
    <row r="1273" spans="1:1" x14ac:dyDescent="0.35">
      <c r="A1273" s="4"/>
    </row>
    <row r="1274" spans="1:1" x14ac:dyDescent="0.35">
      <c r="A1274" s="4"/>
    </row>
    <row r="1275" spans="1:1" x14ac:dyDescent="0.35">
      <c r="A1275" s="4"/>
    </row>
    <row r="1276" spans="1:1" x14ac:dyDescent="0.35">
      <c r="A1276" s="4"/>
    </row>
    <row r="1277" spans="1:1" x14ac:dyDescent="0.35">
      <c r="A1277" s="4"/>
    </row>
    <row r="1278" spans="1:1" x14ac:dyDescent="0.35">
      <c r="A1278" s="4"/>
    </row>
    <row r="1279" spans="1:1" x14ac:dyDescent="0.35">
      <c r="A1279" s="4"/>
    </row>
    <row r="1280" spans="1:1" x14ac:dyDescent="0.35">
      <c r="A1280" s="4"/>
    </row>
    <row r="1281" spans="1:1" x14ac:dyDescent="0.35">
      <c r="A1281" s="4"/>
    </row>
    <row r="1282" spans="1:1" x14ac:dyDescent="0.35">
      <c r="A1282" s="4"/>
    </row>
    <row r="1283" spans="1:1" x14ac:dyDescent="0.35">
      <c r="A128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64E7-1FF9-492A-9AD2-43C6F1EABF96}">
  <dimension ref="A1:B1098"/>
  <sheetViews>
    <sheetView topLeftCell="A1042" workbookViewId="0">
      <selection sqref="A1:AD2"/>
    </sheetView>
  </sheetViews>
  <sheetFormatPr defaultRowHeight="14.5" x14ac:dyDescent="0.35"/>
  <cols>
    <col min="1" max="1" width="20.81640625" customWidth="1"/>
    <col min="2" max="2" width="64" customWidth="1"/>
  </cols>
  <sheetData>
    <row r="1" spans="1:2" x14ac:dyDescent="0.35">
      <c r="A1" s="2" t="s">
        <v>5958</v>
      </c>
      <c r="B1" s="1"/>
    </row>
    <row r="2" spans="1:2" x14ac:dyDescent="0.35">
      <c r="A2" s="1" t="s">
        <v>195</v>
      </c>
      <c r="B2" s="1" t="s">
        <v>3765</v>
      </c>
    </row>
    <row r="3" spans="1:2" x14ac:dyDescent="0.35">
      <c r="A3" s="5" t="s">
        <v>3766</v>
      </c>
      <c r="B3" s="3" t="s">
        <v>3767</v>
      </c>
    </row>
    <row r="4" spans="1:2" x14ac:dyDescent="0.35">
      <c r="A4" s="5" t="s">
        <v>3768</v>
      </c>
      <c r="B4" s="3" t="s">
        <v>3769</v>
      </c>
    </row>
    <row r="5" spans="1:2" x14ac:dyDescent="0.35">
      <c r="A5" s="5" t="s">
        <v>3770</v>
      </c>
      <c r="B5" s="3" t="s">
        <v>3771</v>
      </c>
    </row>
    <row r="6" spans="1:2" x14ac:dyDescent="0.35">
      <c r="A6" s="5" t="s">
        <v>3772</v>
      </c>
      <c r="B6" s="3" t="s">
        <v>3773</v>
      </c>
    </row>
    <row r="7" spans="1:2" x14ac:dyDescent="0.35">
      <c r="A7" s="5" t="s">
        <v>3774</v>
      </c>
      <c r="B7" s="3" t="s">
        <v>3775</v>
      </c>
    </row>
    <row r="8" spans="1:2" x14ac:dyDescent="0.35">
      <c r="A8" s="5" t="s">
        <v>3776</v>
      </c>
      <c r="B8" s="3" t="s">
        <v>3777</v>
      </c>
    </row>
    <row r="9" spans="1:2" x14ac:dyDescent="0.35">
      <c r="A9" s="5" t="s">
        <v>3778</v>
      </c>
      <c r="B9" s="3" t="s">
        <v>3779</v>
      </c>
    </row>
    <row r="10" spans="1:2" x14ac:dyDescent="0.35">
      <c r="A10" s="5" t="s">
        <v>3780</v>
      </c>
      <c r="B10" s="3" t="s">
        <v>3781</v>
      </c>
    </row>
    <row r="11" spans="1:2" x14ac:dyDescent="0.35">
      <c r="A11" s="5" t="s">
        <v>3782</v>
      </c>
      <c r="B11" s="3" t="s">
        <v>3783</v>
      </c>
    </row>
    <row r="12" spans="1:2" x14ac:dyDescent="0.35">
      <c r="A12" s="5" t="s">
        <v>3784</v>
      </c>
      <c r="B12" s="3" t="s">
        <v>3785</v>
      </c>
    </row>
    <row r="13" spans="1:2" x14ac:dyDescent="0.35">
      <c r="A13" s="5" t="s">
        <v>3786</v>
      </c>
      <c r="B13" s="3" t="s">
        <v>3787</v>
      </c>
    </row>
    <row r="14" spans="1:2" x14ac:dyDescent="0.35">
      <c r="A14" s="5" t="s">
        <v>3788</v>
      </c>
      <c r="B14" s="3" t="s">
        <v>3789</v>
      </c>
    </row>
    <row r="15" spans="1:2" x14ac:dyDescent="0.35">
      <c r="A15" s="5" t="s">
        <v>3790</v>
      </c>
      <c r="B15" s="3" t="s">
        <v>3791</v>
      </c>
    </row>
    <row r="16" spans="1:2" x14ac:dyDescent="0.35">
      <c r="A16" s="5" t="s">
        <v>3792</v>
      </c>
      <c r="B16" s="3" t="s">
        <v>3793</v>
      </c>
    </row>
    <row r="17" spans="1:2" x14ac:dyDescent="0.35">
      <c r="A17" s="5" t="s">
        <v>3794</v>
      </c>
      <c r="B17" s="3" t="s">
        <v>3795</v>
      </c>
    </row>
    <row r="18" spans="1:2" x14ac:dyDescent="0.35">
      <c r="A18" s="5" t="s">
        <v>3796</v>
      </c>
      <c r="B18" s="3" t="s">
        <v>3797</v>
      </c>
    </row>
    <row r="19" spans="1:2" x14ac:dyDescent="0.35">
      <c r="A19" s="5" t="s">
        <v>3798</v>
      </c>
      <c r="B19" s="3" t="s">
        <v>3799</v>
      </c>
    </row>
    <row r="20" spans="1:2" x14ac:dyDescent="0.35">
      <c r="A20" s="5" t="s">
        <v>3800</v>
      </c>
      <c r="B20" s="3" t="s">
        <v>3801</v>
      </c>
    </row>
    <row r="21" spans="1:2" x14ac:dyDescent="0.35">
      <c r="A21" s="5" t="s">
        <v>3802</v>
      </c>
      <c r="B21" s="3" t="s">
        <v>3803</v>
      </c>
    </row>
    <row r="22" spans="1:2" x14ac:dyDescent="0.35">
      <c r="A22" s="5" t="s">
        <v>3804</v>
      </c>
      <c r="B22" s="3" t="s">
        <v>3805</v>
      </c>
    </row>
    <row r="23" spans="1:2" x14ac:dyDescent="0.35">
      <c r="A23" s="5" t="s">
        <v>3806</v>
      </c>
      <c r="B23" s="3" t="s">
        <v>3807</v>
      </c>
    </row>
    <row r="24" spans="1:2" x14ac:dyDescent="0.35">
      <c r="A24" s="5" t="s">
        <v>3808</v>
      </c>
      <c r="B24" s="3" t="s">
        <v>3809</v>
      </c>
    </row>
    <row r="25" spans="1:2" x14ac:dyDescent="0.35">
      <c r="A25" s="5" t="s">
        <v>3810</v>
      </c>
      <c r="B25" s="3" t="s">
        <v>3811</v>
      </c>
    </row>
    <row r="26" spans="1:2" x14ac:dyDescent="0.35">
      <c r="A26" s="5" t="s">
        <v>3812</v>
      </c>
      <c r="B26" s="3" t="s">
        <v>3813</v>
      </c>
    </row>
    <row r="27" spans="1:2" x14ac:dyDescent="0.35">
      <c r="A27" s="5" t="s">
        <v>3814</v>
      </c>
      <c r="B27" s="3" t="s">
        <v>3815</v>
      </c>
    </row>
    <row r="28" spans="1:2" x14ac:dyDescent="0.35">
      <c r="A28" s="5" t="s">
        <v>3816</v>
      </c>
      <c r="B28" s="3" t="s">
        <v>3817</v>
      </c>
    </row>
    <row r="29" spans="1:2" x14ac:dyDescent="0.35">
      <c r="A29" s="5" t="s">
        <v>3818</v>
      </c>
      <c r="B29" s="3" t="s">
        <v>3819</v>
      </c>
    </row>
    <row r="30" spans="1:2" x14ac:dyDescent="0.35">
      <c r="A30" s="5" t="s">
        <v>3820</v>
      </c>
      <c r="B30" s="3" t="s">
        <v>3821</v>
      </c>
    </row>
    <row r="31" spans="1:2" x14ac:dyDescent="0.35">
      <c r="A31" s="5" t="s">
        <v>3822</v>
      </c>
      <c r="B31" s="3" t="s">
        <v>3823</v>
      </c>
    </row>
    <row r="32" spans="1:2" x14ac:dyDescent="0.35">
      <c r="A32" s="5" t="s">
        <v>3824</v>
      </c>
      <c r="B32" s="3" t="s">
        <v>3825</v>
      </c>
    </row>
    <row r="33" spans="1:2" x14ac:dyDescent="0.35">
      <c r="A33" s="5" t="s">
        <v>3826</v>
      </c>
      <c r="B33" s="3" t="s">
        <v>3827</v>
      </c>
    </row>
    <row r="34" spans="1:2" x14ac:dyDescent="0.35">
      <c r="A34" s="5" t="s">
        <v>3828</v>
      </c>
      <c r="B34" s="3" t="s">
        <v>3829</v>
      </c>
    </row>
    <row r="35" spans="1:2" x14ac:dyDescent="0.35">
      <c r="A35" s="5" t="s">
        <v>3830</v>
      </c>
      <c r="B35" s="3" t="s">
        <v>3831</v>
      </c>
    </row>
    <row r="36" spans="1:2" x14ac:dyDescent="0.35">
      <c r="A36" s="5" t="s">
        <v>3832</v>
      </c>
      <c r="B36" s="3" t="s">
        <v>3833</v>
      </c>
    </row>
    <row r="37" spans="1:2" x14ac:dyDescent="0.35">
      <c r="A37" s="5" t="s">
        <v>3834</v>
      </c>
      <c r="B37" s="3" t="s">
        <v>3835</v>
      </c>
    </row>
    <row r="38" spans="1:2" x14ac:dyDescent="0.35">
      <c r="A38" s="5" t="s">
        <v>3836</v>
      </c>
      <c r="B38" s="3" t="s">
        <v>3837</v>
      </c>
    </row>
    <row r="39" spans="1:2" x14ac:dyDescent="0.35">
      <c r="A39" s="5" t="s">
        <v>3838</v>
      </c>
      <c r="B39" s="3" t="s">
        <v>3839</v>
      </c>
    </row>
    <row r="40" spans="1:2" x14ac:dyDescent="0.35">
      <c r="A40" s="5" t="s">
        <v>3840</v>
      </c>
      <c r="B40" s="3" t="s">
        <v>3841</v>
      </c>
    </row>
    <row r="41" spans="1:2" x14ac:dyDescent="0.35">
      <c r="A41" s="5" t="s">
        <v>3842</v>
      </c>
      <c r="B41" s="3" t="s">
        <v>3843</v>
      </c>
    </row>
    <row r="42" spans="1:2" x14ac:dyDescent="0.35">
      <c r="A42" s="5" t="s">
        <v>3844</v>
      </c>
      <c r="B42" s="3" t="s">
        <v>3845</v>
      </c>
    </row>
    <row r="43" spans="1:2" x14ac:dyDescent="0.35">
      <c r="A43" s="5" t="s">
        <v>3846</v>
      </c>
      <c r="B43" s="3" t="s">
        <v>3847</v>
      </c>
    </row>
    <row r="44" spans="1:2" x14ac:dyDescent="0.35">
      <c r="A44" s="5" t="s">
        <v>3848</v>
      </c>
      <c r="B44" s="3" t="s">
        <v>3849</v>
      </c>
    </row>
    <row r="45" spans="1:2" x14ac:dyDescent="0.35">
      <c r="A45" s="5" t="s">
        <v>3850</v>
      </c>
      <c r="B45" s="3" t="s">
        <v>3851</v>
      </c>
    </row>
    <row r="46" spans="1:2" x14ac:dyDescent="0.35">
      <c r="A46" s="5" t="s">
        <v>3852</v>
      </c>
      <c r="B46" s="3" t="s">
        <v>3853</v>
      </c>
    </row>
    <row r="47" spans="1:2" x14ac:dyDescent="0.35">
      <c r="A47" s="5" t="s">
        <v>3854</v>
      </c>
      <c r="B47" s="3" t="s">
        <v>3855</v>
      </c>
    </row>
    <row r="48" spans="1:2" x14ac:dyDescent="0.35">
      <c r="A48" s="5" t="s">
        <v>3856</v>
      </c>
      <c r="B48" s="3" t="s">
        <v>3857</v>
      </c>
    </row>
    <row r="49" spans="1:2" x14ac:dyDescent="0.35">
      <c r="A49" s="5" t="s">
        <v>3858</v>
      </c>
      <c r="B49" s="3" t="s">
        <v>3859</v>
      </c>
    </row>
    <row r="50" spans="1:2" x14ac:dyDescent="0.35">
      <c r="A50" s="5" t="s">
        <v>3860</v>
      </c>
      <c r="B50" s="3" t="s">
        <v>3861</v>
      </c>
    </row>
    <row r="51" spans="1:2" x14ac:dyDescent="0.35">
      <c r="A51" s="5" t="s">
        <v>3862</v>
      </c>
      <c r="B51" s="3" t="s">
        <v>3863</v>
      </c>
    </row>
    <row r="52" spans="1:2" x14ac:dyDescent="0.35">
      <c r="A52" s="5" t="s">
        <v>3864</v>
      </c>
      <c r="B52" s="3" t="s">
        <v>3865</v>
      </c>
    </row>
    <row r="53" spans="1:2" x14ac:dyDescent="0.35">
      <c r="A53" s="5" t="s">
        <v>3866</v>
      </c>
      <c r="B53" s="3" t="s">
        <v>3867</v>
      </c>
    </row>
    <row r="54" spans="1:2" x14ac:dyDescent="0.35">
      <c r="A54" s="5" t="s">
        <v>3868</v>
      </c>
      <c r="B54" s="3" t="s">
        <v>3869</v>
      </c>
    </row>
    <row r="55" spans="1:2" x14ac:dyDescent="0.35">
      <c r="A55" s="5" t="s">
        <v>3870</v>
      </c>
      <c r="B55" s="3" t="s">
        <v>3871</v>
      </c>
    </row>
    <row r="56" spans="1:2" x14ac:dyDescent="0.35">
      <c r="A56" s="5" t="s">
        <v>3872</v>
      </c>
      <c r="B56" s="3" t="s">
        <v>3873</v>
      </c>
    </row>
    <row r="57" spans="1:2" x14ac:dyDescent="0.35">
      <c r="A57" s="5" t="s">
        <v>3874</v>
      </c>
      <c r="B57" s="3" t="s">
        <v>3875</v>
      </c>
    </row>
    <row r="58" spans="1:2" x14ac:dyDescent="0.35">
      <c r="A58" s="5" t="s">
        <v>3876</v>
      </c>
      <c r="B58" s="3" t="s">
        <v>3877</v>
      </c>
    </row>
    <row r="59" spans="1:2" x14ac:dyDescent="0.35">
      <c r="A59" s="5" t="s">
        <v>3878</v>
      </c>
      <c r="B59" s="3" t="s">
        <v>3879</v>
      </c>
    </row>
    <row r="60" spans="1:2" x14ac:dyDescent="0.35">
      <c r="A60" s="5" t="s">
        <v>3880</v>
      </c>
      <c r="B60" s="3" t="s">
        <v>3881</v>
      </c>
    </row>
    <row r="61" spans="1:2" x14ac:dyDescent="0.35">
      <c r="A61" s="5" t="s">
        <v>3882</v>
      </c>
      <c r="B61" s="3" t="s">
        <v>3883</v>
      </c>
    </row>
    <row r="62" spans="1:2" x14ac:dyDescent="0.35">
      <c r="A62" s="5" t="s">
        <v>3884</v>
      </c>
      <c r="B62" s="3" t="s">
        <v>3885</v>
      </c>
    </row>
    <row r="63" spans="1:2" x14ac:dyDescent="0.35">
      <c r="A63" s="5" t="s">
        <v>3886</v>
      </c>
      <c r="B63" s="3" t="s">
        <v>3887</v>
      </c>
    </row>
    <row r="64" spans="1:2" x14ac:dyDescent="0.35">
      <c r="A64" s="5" t="s">
        <v>3888</v>
      </c>
      <c r="B64" s="3" t="s">
        <v>3889</v>
      </c>
    </row>
    <row r="65" spans="1:2" x14ac:dyDescent="0.35">
      <c r="A65" s="5" t="s">
        <v>3890</v>
      </c>
      <c r="B65" s="3" t="s">
        <v>3891</v>
      </c>
    </row>
    <row r="66" spans="1:2" x14ac:dyDescent="0.35">
      <c r="A66" s="5" t="s">
        <v>3892</v>
      </c>
      <c r="B66" s="3" t="s">
        <v>3893</v>
      </c>
    </row>
    <row r="67" spans="1:2" x14ac:dyDescent="0.35">
      <c r="A67" s="5" t="s">
        <v>3894</v>
      </c>
      <c r="B67" s="3" t="s">
        <v>3895</v>
      </c>
    </row>
    <row r="68" spans="1:2" x14ac:dyDescent="0.35">
      <c r="A68" s="5" t="s">
        <v>3896</v>
      </c>
      <c r="B68" s="3" t="s">
        <v>3897</v>
      </c>
    </row>
    <row r="69" spans="1:2" x14ac:dyDescent="0.35">
      <c r="A69" s="5" t="s">
        <v>3898</v>
      </c>
      <c r="B69" s="3" t="s">
        <v>3899</v>
      </c>
    </row>
    <row r="70" spans="1:2" x14ac:dyDescent="0.35">
      <c r="A70" s="5" t="s">
        <v>3900</v>
      </c>
      <c r="B70" s="3" t="s">
        <v>3901</v>
      </c>
    </row>
    <row r="71" spans="1:2" x14ac:dyDescent="0.35">
      <c r="A71" s="5" t="s">
        <v>3902</v>
      </c>
      <c r="B71" s="3" t="s">
        <v>3903</v>
      </c>
    </row>
    <row r="72" spans="1:2" x14ac:dyDescent="0.35">
      <c r="A72" s="5" t="s">
        <v>3904</v>
      </c>
      <c r="B72" s="3" t="s">
        <v>3905</v>
      </c>
    </row>
    <row r="73" spans="1:2" x14ac:dyDescent="0.35">
      <c r="A73" s="5" t="s">
        <v>3906</v>
      </c>
      <c r="B73" s="3" t="s">
        <v>3907</v>
      </c>
    </row>
    <row r="74" spans="1:2" x14ac:dyDescent="0.35">
      <c r="A74" s="5" t="s">
        <v>3908</v>
      </c>
      <c r="B74" s="3" t="s">
        <v>3909</v>
      </c>
    </row>
    <row r="75" spans="1:2" x14ac:dyDescent="0.35">
      <c r="A75" s="5" t="s">
        <v>3910</v>
      </c>
      <c r="B75" s="3" t="s">
        <v>3911</v>
      </c>
    </row>
    <row r="76" spans="1:2" x14ac:dyDescent="0.35">
      <c r="A76" s="5" t="s">
        <v>3912</v>
      </c>
      <c r="B76" s="3" t="s">
        <v>3913</v>
      </c>
    </row>
    <row r="77" spans="1:2" x14ac:dyDescent="0.35">
      <c r="A77" s="5" t="s">
        <v>3914</v>
      </c>
      <c r="B77" s="3" t="s">
        <v>3915</v>
      </c>
    </row>
    <row r="78" spans="1:2" x14ac:dyDescent="0.35">
      <c r="A78" s="5" t="s">
        <v>3916</v>
      </c>
      <c r="B78" s="3" t="s">
        <v>3917</v>
      </c>
    </row>
    <row r="79" spans="1:2" x14ac:dyDescent="0.35">
      <c r="A79" s="5" t="s">
        <v>3918</v>
      </c>
      <c r="B79" s="3" t="s">
        <v>3919</v>
      </c>
    </row>
    <row r="80" spans="1:2" x14ac:dyDescent="0.35">
      <c r="A80" s="5" t="s">
        <v>3920</v>
      </c>
      <c r="B80" s="3" t="s">
        <v>3921</v>
      </c>
    </row>
    <row r="81" spans="1:2" x14ac:dyDescent="0.35">
      <c r="A81" s="5" t="s">
        <v>3922</v>
      </c>
      <c r="B81" s="3" t="s">
        <v>3923</v>
      </c>
    </row>
    <row r="82" spans="1:2" x14ac:dyDescent="0.35">
      <c r="A82" s="5" t="s">
        <v>3924</v>
      </c>
      <c r="B82" s="3" t="s">
        <v>3925</v>
      </c>
    </row>
    <row r="83" spans="1:2" x14ac:dyDescent="0.35">
      <c r="A83" s="5" t="s">
        <v>3926</v>
      </c>
      <c r="B83" s="3" t="s">
        <v>3927</v>
      </c>
    </row>
    <row r="84" spans="1:2" x14ac:dyDescent="0.35">
      <c r="A84" s="5" t="s">
        <v>3928</v>
      </c>
      <c r="B84" s="3" t="s">
        <v>3929</v>
      </c>
    </row>
    <row r="85" spans="1:2" x14ac:dyDescent="0.35">
      <c r="A85" s="5" t="s">
        <v>3930</v>
      </c>
      <c r="B85" s="3" t="s">
        <v>3931</v>
      </c>
    </row>
    <row r="86" spans="1:2" x14ac:dyDescent="0.35">
      <c r="A86" s="5" t="s">
        <v>3932</v>
      </c>
      <c r="B86" s="3" t="s">
        <v>3933</v>
      </c>
    </row>
    <row r="87" spans="1:2" x14ac:dyDescent="0.35">
      <c r="A87" s="5" t="s">
        <v>3934</v>
      </c>
      <c r="B87" s="3" t="s">
        <v>3935</v>
      </c>
    </row>
    <row r="88" spans="1:2" x14ac:dyDescent="0.35">
      <c r="A88" s="5" t="s">
        <v>3936</v>
      </c>
      <c r="B88" s="3" t="s">
        <v>3937</v>
      </c>
    </row>
    <row r="89" spans="1:2" x14ac:dyDescent="0.35">
      <c r="A89" s="5" t="s">
        <v>3938</v>
      </c>
      <c r="B89" s="3" t="s">
        <v>3939</v>
      </c>
    </row>
    <row r="90" spans="1:2" x14ac:dyDescent="0.35">
      <c r="A90" s="5" t="s">
        <v>3940</v>
      </c>
      <c r="B90" s="3" t="s">
        <v>3941</v>
      </c>
    </row>
    <row r="91" spans="1:2" x14ac:dyDescent="0.35">
      <c r="A91" s="5" t="s">
        <v>3942</v>
      </c>
      <c r="B91" s="3" t="s">
        <v>3943</v>
      </c>
    </row>
    <row r="92" spans="1:2" x14ac:dyDescent="0.35">
      <c r="A92" s="5" t="s">
        <v>3944</v>
      </c>
      <c r="B92" s="3" t="s">
        <v>3945</v>
      </c>
    </row>
    <row r="93" spans="1:2" x14ac:dyDescent="0.35">
      <c r="A93" s="5" t="s">
        <v>3946</v>
      </c>
      <c r="B93" s="3" t="s">
        <v>3947</v>
      </c>
    </row>
    <row r="94" spans="1:2" x14ac:dyDescent="0.35">
      <c r="A94" s="5" t="s">
        <v>3948</v>
      </c>
      <c r="B94" s="3" t="s">
        <v>3949</v>
      </c>
    </row>
    <row r="95" spans="1:2" x14ac:dyDescent="0.35">
      <c r="A95" s="5" t="s">
        <v>3950</v>
      </c>
      <c r="B95" s="3" t="s">
        <v>3951</v>
      </c>
    </row>
    <row r="96" spans="1:2" x14ac:dyDescent="0.35">
      <c r="A96" s="5" t="s">
        <v>3952</v>
      </c>
      <c r="B96" s="3" t="s">
        <v>3953</v>
      </c>
    </row>
    <row r="97" spans="1:2" x14ac:dyDescent="0.35">
      <c r="A97" s="5" t="s">
        <v>3954</v>
      </c>
      <c r="B97" s="3" t="s">
        <v>3955</v>
      </c>
    </row>
    <row r="98" spans="1:2" x14ac:dyDescent="0.35">
      <c r="A98" s="5" t="s">
        <v>3956</v>
      </c>
      <c r="B98" s="3" t="s">
        <v>3957</v>
      </c>
    </row>
    <row r="99" spans="1:2" x14ac:dyDescent="0.35">
      <c r="A99" s="5" t="s">
        <v>3958</v>
      </c>
      <c r="B99" s="3" t="s">
        <v>3959</v>
      </c>
    </row>
    <row r="100" spans="1:2" x14ac:dyDescent="0.35">
      <c r="A100" s="5" t="s">
        <v>3960</v>
      </c>
      <c r="B100" s="3" t="s">
        <v>3961</v>
      </c>
    </row>
    <row r="101" spans="1:2" x14ac:dyDescent="0.35">
      <c r="A101" s="5" t="s">
        <v>3962</v>
      </c>
      <c r="B101" s="3" t="s">
        <v>3963</v>
      </c>
    </row>
    <row r="102" spans="1:2" x14ac:dyDescent="0.35">
      <c r="A102" s="5" t="s">
        <v>3964</v>
      </c>
      <c r="B102" s="3" t="s">
        <v>3965</v>
      </c>
    </row>
    <row r="103" spans="1:2" x14ac:dyDescent="0.35">
      <c r="A103" s="5" t="s">
        <v>3966</v>
      </c>
      <c r="B103" s="3" t="s">
        <v>3967</v>
      </c>
    </row>
    <row r="104" spans="1:2" x14ac:dyDescent="0.35">
      <c r="A104" s="5" t="s">
        <v>3968</v>
      </c>
      <c r="B104" s="3" t="s">
        <v>3969</v>
      </c>
    </row>
    <row r="105" spans="1:2" x14ac:dyDescent="0.35">
      <c r="A105" s="5" t="s">
        <v>3970</v>
      </c>
      <c r="B105" s="3" t="s">
        <v>3971</v>
      </c>
    </row>
    <row r="106" spans="1:2" x14ac:dyDescent="0.35">
      <c r="A106" s="5" t="s">
        <v>3972</v>
      </c>
      <c r="B106" s="3" t="s">
        <v>3973</v>
      </c>
    </row>
    <row r="107" spans="1:2" x14ac:dyDescent="0.35">
      <c r="A107" s="5" t="s">
        <v>3974</v>
      </c>
      <c r="B107" s="3" t="s">
        <v>3975</v>
      </c>
    </row>
    <row r="108" spans="1:2" x14ac:dyDescent="0.35">
      <c r="A108" s="5" t="s">
        <v>3976</v>
      </c>
      <c r="B108" s="3" t="s">
        <v>3977</v>
      </c>
    </row>
    <row r="109" spans="1:2" x14ac:dyDescent="0.35">
      <c r="A109" s="5" t="s">
        <v>3978</v>
      </c>
      <c r="B109" s="3" t="s">
        <v>3979</v>
      </c>
    </row>
    <row r="110" spans="1:2" x14ac:dyDescent="0.35">
      <c r="A110" s="5" t="s">
        <v>3980</v>
      </c>
      <c r="B110" s="3" t="s">
        <v>3981</v>
      </c>
    </row>
    <row r="111" spans="1:2" x14ac:dyDescent="0.35">
      <c r="A111" s="5" t="s">
        <v>3982</v>
      </c>
      <c r="B111" s="3" t="s">
        <v>3983</v>
      </c>
    </row>
    <row r="112" spans="1:2" x14ac:dyDescent="0.35">
      <c r="A112" s="5" t="s">
        <v>3984</v>
      </c>
      <c r="B112" s="3" t="s">
        <v>3985</v>
      </c>
    </row>
    <row r="113" spans="1:2" x14ac:dyDescent="0.35">
      <c r="A113" s="5" t="s">
        <v>3986</v>
      </c>
      <c r="B113" s="3" t="s">
        <v>3987</v>
      </c>
    </row>
    <row r="114" spans="1:2" x14ac:dyDescent="0.35">
      <c r="A114" s="5" t="s">
        <v>3988</v>
      </c>
      <c r="B114" s="3" t="s">
        <v>3989</v>
      </c>
    </row>
    <row r="115" spans="1:2" x14ac:dyDescent="0.35">
      <c r="A115" s="5" t="s">
        <v>3990</v>
      </c>
      <c r="B115" s="3" t="s">
        <v>3991</v>
      </c>
    </row>
    <row r="116" spans="1:2" x14ac:dyDescent="0.35">
      <c r="A116" s="5" t="s">
        <v>3992</v>
      </c>
      <c r="B116" s="3" t="s">
        <v>3993</v>
      </c>
    </row>
    <row r="117" spans="1:2" x14ac:dyDescent="0.35">
      <c r="A117" s="5" t="s">
        <v>3994</v>
      </c>
      <c r="B117" s="3" t="s">
        <v>3995</v>
      </c>
    </row>
    <row r="118" spans="1:2" x14ac:dyDescent="0.35">
      <c r="A118" s="5" t="s">
        <v>3996</v>
      </c>
      <c r="B118" s="3" t="s">
        <v>3997</v>
      </c>
    </row>
    <row r="119" spans="1:2" x14ac:dyDescent="0.35">
      <c r="A119" s="5" t="s">
        <v>3998</v>
      </c>
      <c r="B119" s="3" t="s">
        <v>3999</v>
      </c>
    </row>
    <row r="120" spans="1:2" x14ac:dyDescent="0.35">
      <c r="A120" s="5" t="s">
        <v>4000</v>
      </c>
      <c r="B120" s="3" t="s">
        <v>4001</v>
      </c>
    </row>
    <row r="121" spans="1:2" x14ac:dyDescent="0.35">
      <c r="A121" s="5" t="s">
        <v>4002</v>
      </c>
      <c r="B121" s="3" t="s">
        <v>4003</v>
      </c>
    </row>
    <row r="122" spans="1:2" x14ac:dyDescent="0.35">
      <c r="A122" s="5" t="s">
        <v>4004</v>
      </c>
      <c r="B122" s="3" t="s">
        <v>4005</v>
      </c>
    </row>
    <row r="123" spans="1:2" x14ac:dyDescent="0.35">
      <c r="A123" s="5" t="s">
        <v>4006</v>
      </c>
      <c r="B123" s="3" t="s">
        <v>4007</v>
      </c>
    </row>
    <row r="124" spans="1:2" x14ac:dyDescent="0.35">
      <c r="A124" s="5" t="s">
        <v>4008</v>
      </c>
      <c r="B124" s="3" t="s">
        <v>4009</v>
      </c>
    </row>
    <row r="125" spans="1:2" x14ac:dyDescent="0.35">
      <c r="A125" s="5" t="s">
        <v>4010</v>
      </c>
      <c r="B125" s="3" t="s">
        <v>4011</v>
      </c>
    </row>
    <row r="126" spans="1:2" x14ac:dyDescent="0.35">
      <c r="A126" s="5" t="s">
        <v>4012</v>
      </c>
      <c r="B126" s="3" t="s">
        <v>4013</v>
      </c>
    </row>
    <row r="127" spans="1:2" x14ac:dyDescent="0.35">
      <c r="A127" s="5" t="s">
        <v>4014</v>
      </c>
      <c r="B127" s="3" t="s">
        <v>4015</v>
      </c>
    </row>
    <row r="128" spans="1:2" x14ac:dyDescent="0.35">
      <c r="A128" s="5" t="s">
        <v>4016</v>
      </c>
      <c r="B128" s="3" t="s">
        <v>4017</v>
      </c>
    </row>
    <row r="129" spans="1:2" x14ac:dyDescent="0.35">
      <c r="A129" s="5" t="s">
        <v>4018</v>
      </c>
      <c r="B129" s="3" t="s">
        <v>4019</v>
      </c>
    </row>
    <row r="130" spans="1:2" x14ac:dyDescent="0.35">
      <c r="A130" s="5" t="s">
        <v>4020</v>
      </c>
      <c r="B130" s="3" t="s">
        <v>4021</v>
      </c>
    </row>
    <row r="131" spans="1:2" x14ac:dyDescent="0.35">
      <c r="A131" s="5" t="s">
        <v>4022</v>
      </c>
      <c r="B131" s="3" t="s">
        <v>4023</v>
      </c>
    </row>
    <row r="132" spans="1:2" x14ac:dyDescent="0.35">
      <c r="A132" s="5" t="s">
        <v>4024</v>
      </c>
      <c r="B132" s="3" t="s">
        <v>4025</v>
      </c>
    </row>
    <row r="133" spans="1:2" x14ac:dyDescent="0.35">
      <c r="A133" s="5" t="s">
        <v>4026</v>
      </c>
      <c r="B133" s="3" t="s">
        <v>4027</v>
      </c>
    </row>
    <row r="134" spans="1:2" x14ac:dyDescent="0.35">
      <c r="A134" s="5" t="s">
        <v>4028</v>
      </c>
      <c r="B134" s="3" t="s">
        <v>4029</v>
      </c>
    </row>
    <row r="135" spans="1:2" x14ac:dyDescent="0.35">
      <c r="A135" s="5" t="s">
        <v>4030</v>
      </c>
      <c r="B135" s="3" t="s">
        <v>4031</v>
      </c>
    </row>
    <row r="136" spans="1:2" x14ac:dyDescent="0.35">
      <c r="A136" s="5" t="s">
        <v>4032</v>
      </c>
      <c r="B136" s="3" t="s">
        <v>4033</v>
      </c>
    </row>
    <row r="137" spans="1:2" x14ac:dyDescent="0.35">
      <c r="A137" s="5" t="s">
        <v>4034</v>
      </c>
      <c r="B137" s="3" t="s">
        <v>4035</v>
      </c>
    </row>
    <row r="138" spans="1:2" x14ac:dyDescent="0.35">
      <c r="A138" s="5" t="s">
        <v>4036</v>
      </c>
      <c r="B138" s="3" t="s">
        <v>4037</v>
      </c>
    </row>
    <row r="139" spans="1:2" x14ac:dyDescent="0.35">
      <c r="A139" s="5" t="s">
        <v>4038</v>
      </c>
      <c r="B139" s="3" t="s">
        <v>4039</v>
      </c>
    </row>
    <row r="140" spans="1:2" x14ac:dyDescent="0.35">
      <c r="A140" s="5" t="s">
        <v>4040</v>
      </c>
      <c r="B140" s="3" t="s">
        <v>4041</v>
      </c>
    </row>
    <row r="141" spans="1:2" x14ac:dyDescent="0.35">
      <c r="A141" s="5" t="s">
        <v>4042</v>
      </c>
      <c r="B141" s="3" t="s">
        <v>4043</v>
      </c>
    </row>
    <row r="142" spans="1:2" x14ac:dyDescent="0.35">
      <c r="A142" s="5" t="s">
        <v>4044</v>
      </c>
      <c r="B142" s="3" t="s">
        <v>4045</v>
      </c>
    </row>
    <row r="143" spans="1:2" x14ac:dyDescent="0.35">
      <c r="A143" s="5" t="s">
        <v>4046</v>
      </c>
      <c r="B143" s="3" t="s">
        <v>4047</v>
      </c>
    </row>
    <row r="144" spans="1:2" x14ac:dyDescent="0.35">
      <c r="A144" s="5" t="s">
        <v>4048</v>
      </c>
      <c r="B144" s="3" t="s">
        <v>4049</v>
      </c>
    </row>
    <row r="145" spans="1:2" x14ac:dyDescent="0.35">
      <c r="A145" s="5" t="s">
        <v>4050</v>
      </c>
      <c r="B145" s="3" t="s">
        <v>4051</v>
      </c>
    </row>
    <row r="146" spans="1:2" x14ac:dyDescent="0.35">
      <c r="A146" s="5" t="s">
        <v>4052</v>
      </c>
      <c r="B146" s="3" t="s">
        <v>4053</v>
      </c>
    </row>
    <row r="147" spans="1:2" x14ac:dyDescent="0.35">
      <c r="A147" s="5" t="s">
        <v>4054</v>
      </c>
      <c r="B147" s="3" t="s">
        <v>4055</v>
      </c>
    </row>
    <row r="148" spans="1:2" x14ac:dyDescent="0.35">
      <c r="A148" s="5" t="s">
        <v>4056</v>
      </c>
      <c r="B148" s="3" t="s">
        <v>4057</v>
      </c>
    </row>
    <row r="149" spans="1:2" x14ac:dyDescent="0.35">
      <c r="A149" s="5" t="s">
        <v>4058</v>
      </c>
      <c r="B149" s="3" t="s">
        <v>4059</v>
      </c>
    </row>
    <row r="150" spans="1:2" x14ac:dyDescent="0.35">
      <c r="A150" s="5" t="s">
        <v>4060</v>
      </c>
      <c r="B150" s="3" t="s">
        <v>4061</v>
      </c>
    </row>
    <row r="151" spans="1:2" x14ac:dyDescent="0.35">
      <c r="A151" s="5" t="s">
        <v>4062</v>
      </c>
      <c r="B151" s="3" t="s">
        <v>4063</v>
      </c>
    </row>
    <row r="152" spans="1:2" x14ac:dyDescent="0.35">
      <c r="A152" s="5" t="s">
        <v>4064</v>
      </c>
      <c r="B152" s="3" t="s">
        <v>4065</v>
      </c>
    </row>
    <row r="153" spans="1:2" x14ac:dyDescent="0.35">
      <c r="A153" s="5" t="s">
        <v>4066</v>
      </c>
      <c r="B153" s="3" t="s">
        <v>4067</v>
      </c>
    </row>
    <row r="154" spans="1:2" x14ac:dyDescent="0.35">
      <c r="A154" s="5" t="s">
        <v>4068</v>
      </c>
      <c r="B154" s="3" t="s">
        <v>4069</v>
      </c>
    </row>
    <row r="155" spans="1:2" x14ac:dyDescent="0.35">
      <c r="A155" s="5" t="s">
        <v>4070</v>
      </c>
      <c r="B155" s="3" t="s">
        <v>4071</v>
      </c>
    </row>
    <row r="156" spans="1:2" x14ac:dyDescent="0.35">
      <c r="A156" s="5" t="s">
        <v>4072</v>
      </c>
      <c r="B156" s="3" t="s">
        <v>4073</v>
      </c>
    </row>
    <row r="157" spans="1:2" x14ac:dyDescent="0.35">
      <c r="A157" s="5" t="s">
        <v>4074</v>
      </c>
      <c r="B157" s="3" t="s">
        <v>4075</v>
      </c>
    </row>
    <row r="158" spans="1:2" x14ac:dyDescent="0.35">
      <c r="A158" s="5" t="s">
        <v>4076</v>
      </c>
      <c r="B158" s="3" t="s">
        <v>4077</v>
      </c>
    </row>
    <row r="159" spans="1:2" x14ac:dyDescent="0.35">
      <c r="A159" s="5" t="s">
        <v>4078</v>
      </c>
      <c r="B159" s="3" t="s">
        <v>4079</v>
      </c>
    </row>
    <row r="160" spans="1:2" x14ac:dyDescent="0.35">
      <c r="A160" s="5" t="s">
        <v>4080</v>
      </c>
      <c r="B160" s="3" t="s">
        <v>4081</v>
      </c>
    </row>
    <row r="161" spans="1:2" x14ac:dyDescent="0.35">
      <c r="A161" s="5" t="s">
        <v>4082</v>
      </c>
      <c r="B161" s="3" t="s">
        <v>4083</v>
      </c>
    </row>
    <row r="162" spans="1:2" x14ac:dyDescent="0.35">
      <c r="A162" s="5" t="s">
        <v>4084</v>
      </c>
      <c r="B162" s="3" t="s">
        <v>4085</v>
      </c>
    </row>
    <row r="163" spans="1:2" x14ac:dyDescent="0.35">
      <c r="A163" s="5" t="s">
        <v>4086</v>
      </c>
      <c r="B163" s="3" t="s">
        <v>4087</v>
      </c>
    </row>
    <row r="164" spans="1:2" x14ac:dyDescent="0.35">
      <c r="A164" s="5" t="s">
        <v>4088</v>
      </c>
      <c r="B164" s="3" t="s">
        <v>4089</v>
      </c>
    </row>
    <row r="165" spans="1:2" x14ac:dyDescent="0.35">
      <c r="A165" s="5" t="s">
        <v>4090</v>
      </c>
      <c r="B165" s="3" t="s">
        <v>4091</v>
      </c>
    </row>
    <row r="166" spans="1:2" x14ac:dyDescent="0.35">
      <c r="A166" s="5" t="s">
        <v>4092</v>
      </c>
      <c r="B166" s="3" t="s">
        <v>4093</v>
      </c>
    </row>
    <row r="167" spans="1:2" x14ac:dyDescent="0.35">
      <c r="A167" s="5" t="s">
        <v>4094</v>
      </c>
      <c r="B167" s="3" t="s">
        <v>4095</v>
      </c>
    </row>
    <row r="168" spans="1:2" x14ac:dyDescent="0.35">
      <c r="A168" s="5" t="s">
        <v>4096</v>
      </c>
      <c r="B168" s="3" t="s">
        <v>4097</v>
      </c>
    </row>
    <row r="169" spans="1:2" x14ac:dyDescent="0.35">
      <c r="A169" s="5" t="s">
        <v>4098</v>
      </c>
      <c r="B169" s="3" t="s">
        <v>4099</v>
      </c>
    </row>
    <row r="170" spans="1:2" x14ac:dyDescent="0.35">
      <c r="A170" s="5" t="s">
        <v>4100</v>
      </c>
      <c r="B170" s="3" t="s">
        <v>4101</v>
      </c>
    </row>
    <row r="171" spans="1:2" x14ac:dyDescent="0.35">
      <c r="A171" s="5" t="s">
        <v>4102</v>
      </c>
      <c r="B171" s="3" t="s">
        <v>4103</v>
      </c>
    </row>
    <row r="172" spans="1:2" x14ac:dyDescent="0.35">
      <c r="A172" s="5" t="s">
        <v>4104</v>
      </c>
      <c r="B172" s="3" t="s">
        <v>4105</v>
      </c>
    </row>
    <row r="173" spans="1:2" x14ac:dyDescent="0.35">
      <c r="A173" s="5" t="s">
        <v>4106</v>
      </c>
      <c r="B173" s="3" t="s">
        <v>4107</v>
      </c>
    </row>
    <row r="174" spans="1:2" x14ac:dyDescent="0.35">
      <c r="A174" s="5" t="s">
        <v>4108</v>
      </c>
      <c r="B174" s="3" t="s">
        <v>4109</v>
      </c>
    </row>
    <row r="175" spans="1:2" x14ac:dyDescent="0.35">
      <c r="A175" s="5" t="s">
        <v>4110</v>
      </c>
      <c r="B175" s="3" t="s">
        <v>4111</v>
      </c>
    </row>
    <row r="176" spans="1:2" x14ac:dyDescent="0.35">
      <c r="A176" s="5" t="s">
        <v>4112</v>
      </c>
      <c r="B176" s="3" t="s">
        <v>4113</v>
      </c>
    </row>
    <row r="177" spans="1:2" x14ac:dyDescent="0.35">
      <c r="A177" s="5" t="s">
        <v>4114</v>
      </c>
      <c r="B177" s="3" t="s">
        <v>4115</v>
      </c>
    </row>
    <row r="178" spans="1:2" x14ac:dyDescent="0.35">
      <c r="A178" s="5" t="s">
        <v>4116</v>
      </c>
      <c r="B178" s="3" t="s">
        <v>4117</v>
      </c>
    </row>
    <row r="179" spans="1:2" x14ac:dyDescent="0.35">
      <c r="A179" s="5" t="s">
        <v>4118</v>
      </c>
      <c r="B179" s="3" t="s">
        <v>4119</v>
      </c>
    </row>
    <row r="180" spans="1:2" x14ac:dyDescent="0.35">
      <c r="A180" s="5" t="s">
        <v>4120</v>
      </c>
      <c r="B180" s="3" t="s">
        <v>4121</v>
      </c>
    </row>
    <row r="181" spans="1:2" x14ac:dyDescent="0.35">
      <c r="A181" s="5" t="s">
        <v>4122</v>
      </c>
      <c r="B181" s="3" t="s">
        <v>4123</v>
      </c>
    </row>
    <row r="182" spans="1:2" x14ac:dyDescent="0.35">
      <c r="A182" s="5" t="s">
        <v>4124</v>
      </c>
      <c r="B182" s="3" t="s">
        <v>4125</v>
      </c>
    </row>
    <row r="183" spans="1:2" x14ac:dyDescent="0.35">
      <c r="A183" s="5" t="s">
        <v>4126</v>
      </c>
      <c r="B183" s="3" t="s">
        <v>4127</v>
      </c>
    </row>
    <row r="184" spans="1:2" x14ac:dyDescent="0.35">
      <c r="A184" s="5" t="s">
        <v>4128</v>
      </c>
      <c r="B184" s="3" t="s">
        <v>4129</v>
      </c>
    </row>
    <row r="185" spans="1:2" x14ac:dyDescent="0.35">
      <c r="A185" s="5" t="s">
        <v>4130</v>
      </c>
      <c r="B185" s="3" t="s">
        <v>4131</v>
      </c>
    </row>
    <row r="186" spans="1:2" x14ac:dyDescent="0.35">
      <c r="A186" s="5" t="s">
        <v>4132</v>
      </c>
      <c r="B186" s="3" t="s">
        <v>4133</v>
      </c>
    </row>
    <row r="187" spans="1:2" x14ac:dyDescent="0.35">
      <c r="A187" s="5" t="s">
        <v>4134</v>
      </c>
      <c r="B187" s="3" t="s">
        <v>4135</v>
      </c>
    </row>
    <row r="188" spans="1:2" x14ac:dyDescent="0.35">
      <c r="A188" s="5" t="s">
        <v>4136</v>
      </c>
      <c r="B188" s="3" t="s">
        <v>4137</v>
      </c>
    </row>
    <row r="189" spans="1:2" x14ac:dyDescent="0.35">
      <c r="A189" s="5" t="s">
        <v>4138</v>
      </c>
      <c r="B189" s="3" t="s">
        <v>4139</v>
      </c>
    </row>
    <row r="190" spans="1:2" x14ac:dyDescent="0.35">
      <c r="A190" s="5" t="s">
        <v>4140</v>
      </c>
      <c r="B190" s="3" t="s">
        <v>4141</v>
      </c>
    </row>
    <row r="191" spans="1:2" x14ac:dyDescent="0.35">
      <c r="A191" s="5" t="s">
        <v>4142</v>
      </c>
      <c r="B191" s="3" t="s">
        <v>4143</v>
      </c>
    </row>
    <row r="192" spans="1:2" x14ac:dyDescent="0.35">
      <c r="A192" s="5" t="s">
        <v>4144</v>
      </c>
      <c r="B192" s="3" t="s">
        <v>4145</v>
      </c>
    </row>
    <row r="193" spans="1:2" x14ac:dyDescent="0.35">
      <c r="A193" s="5" t="s">
        <v>4146</v>
      </c>
      <c r="B193" s="3" t="s">
        <v>4147</v>
      </c>
    </row>
    <row r="194" spans="1:2" x14ac:dyDescent="0.35">
      <c r="A194" s="5" t="s">
        <v>4148</v>
      </c>
      <c r="B194" s="3" t="s">
        <v>4149</v>
      </c>
    </row>
    <row r="195" spans="1:2" x14ac:dyDescent="0.35">
      <c r="A195" s="5" t="s">
        <v>4150</v>
      </c>
      <c r="B195" s="3" t="s">
        <v>4151</v>
      </c>
    </row>
    <row r="196" spans="1:2" x14ac:dyDescent="0.35">
      <c r="A196" s="5" t="s">
        <v>4152</v>
      </c>
      <c r="B196" s="3" t="s">
        <v>4153</v>
      </c>
    </row>
    <row r="197" spans="1:2" x14ac:dyDescent="0.35">
      <c r="A197" s="5" t="s">
        <v>4154</v>
      </c>
      <c r="B197" s="3" t="s">
        <v>4155</v>
      </c>
    </row>
    <row r="198" spans="1:2" x14ac:dyDescent="0.35">
      <c r="A198" s="5" t="s">
        <v>4156</v>
      </c>
      <c r="B198" s="3" t="s">
        <v>4157</v>
      </c>
    </row>
    <row r="199" spans="1:2" x14ac:dyDescent="0.35">
      <c r="A199" s="5" t="s">
        <v>4158</v>
      </c>
      <c r="B199" s="3" t="s">
        <v>4159</v>
      </c>
    </row>
    <row r="200" spans="1:2" x14ac:dyDescent="0.35">
      <c r="A200" s="5" t="s">
        <v>4160</v>
      </c>
      <c r="B200" s="3" t="s">
        <v>4161</v>
      </c>
    </row>
    <row r="201" spans="1:2" x14ac:dyDescent="0.35">
      <c r="A201" s="5" t="s">
        <v>4162</v>
      </c>
      <c r="B201" s="3" t="s">
        <v>4163</v>
      </c>
    </row>
    <row r="202" spans="1:2" x14ac:dyDescent="0.35">
      <c r="A202" s="5" t="s">
        <v>4164</v>
      </c>
      <c r="B202" s="3" t="s">
        <v>4165</v>
      </c>
    </row>
    <row r="203" spans="1:2" x14ac:dyDescent="0.35">
      <c r="A203" s="5" t="s">
        <v>4166</v>
      </c>
      <c r="B203" s="3" t="s">
        <v>4167</v>
      </c>
    </row>
    <row r="204" spans="1:2" x14ac:dyDescent="0.35">
      <c r="A204" s="5" t="s">
        <v>4168</v>
      </c>
      <c r="B204" s="3" t="s">
        <v>4169</v>
      </c>
    </row>
    <row r="205" spans="1:2" x14ac:dyDescent="0.35">
      <c r="A205" s="5" t="s">
        <v>4170</v>
      </c>
      <c r="B205" s="3" t="s">
        <v>4171</v>
      </c>
    </row>
    <row r="206" spans="1:2" x14ac:dyDescent="0.35">
      <c r="A206" s="5" t="s">
        <v>4172</v>
      </c>
      <c r="B206" s="3" t="s">
        <v>4173</v>
      </c>
    </row>
    <row r="207" spans="1:2" x14ac:dyDescent="0.35">
      <c r="A207" s="5" t="s">
        <v>4174</v>
      </c>
      <c r="B207" s="3" t="s">
        <v>4175</v>
      </c>
    </row>
    <row r="208" spans="1:2" x14ac:dyDescent="0.35">
      <c r="A208" s="5" t="s">
        <v>4176</v>
      </c>
      <c r="B208" s="3" t="s">
        <v>4177</v>
      </c>
    </row>
    <row r="209" spans="1:2" x14ac:dyDescent="0.35">
      <c r="A209" s="5" t="s">
        <v>4178</v>
      </c>
      <c r="B209" s="3" t="s">
        <v>4179</v>
      </c>
    </row>
    <row r="210" spans="1:2" x14ac:dyDescent="0.35">
      <c r="A210" s="5" t="s">
        <v>4180</v>
      </c>
      <c r="B210" s="3" t="s">
        <v>4181</v>
      </c>
    </row>
    <row r="211" spans="1:2" x14ac:dyDescent="0.35">
      <c r="A211" s="5" t="s">
        <v>4182</v>
      </c>
      <c r="B211" s="3" t="s">
        <v>4183</v>
      </c>
    </row>
    <row r="212" spans="1:2" x14ac:dyDescent="0.35">
      <c r="A212" s="5" t="s">
        <v>4184</v>
      </c>
      <c r="B212" s="3" t="s">
        <v>4185</v>
      </c>
    </row>
    <row r="213" spans="1:2" x14ac:dyDescent="0.35">
      <c r="A213" s="5" t="s">
        <v>4186</v>
      </c>
      <c r="B213" s="3" t="s">
        <v>4187</v>
      </c>
    </row>
    <row r="214" spans="1:2" x14ac:dyDescent="0.35">
      <c r="A214" s="5" t="s">
        <v>4188</v>
      </c>
      <c r="B214" s="3" t="s">
        <v>4189</v>
      </c>
    </row>
    <row r="215" spans="1:2" x14ac:dyDescent="0.35">
      <c r="A215" s="5" t="s">
        <v>4190</v>
      </c>
      <c r="B215" s="3" t="s">
        <v>4191</v>
      </c>
    </row>
    <row r="216" spans="1:2" x14ac:dyDescent="0.35">
      <c r="A216" s="5" t="s">
        <v>4192</v>
      </c>
      <c r="B216" s="3" t="s">
        <v>4193</v>
      </c>
    </row>
    <row r="217" spans="1:2" x14ac:dyDescent="0.35">
      <c r="A217" s="5" t="s">
        <v>4194</v>
      </c>
      <c r="B217" s="3" t="s">
        <v>4195</v>
      </c>
    </row>
    <row r="218" spans="1:2" x14ac:dyDescent="0.35">
      <c r="A218" s="5" t="s">
        <v>4196</v>
      </c>
      <c r="B218" s="3" t="s">
        <v>4197</v>
      </c>
    </row>
    <row r="219" spans="1:2" x14ac:dyDescent="0.35">
      <c r="A219" s="5" t="s">
        <v>4198</v>
      </c>
      <c r="B219" s="3" t="s">
        <v>4199</v>
      </c>
    </row>
    <row r="220" spans="1:2" x14ac:dyDescent="0.35">
      <c r="A220" s="5" t="s">
        <v>4200</v>
      </c>
      <c r="B220" s="3" t="s">
        <v>4201</v>
      </c>
    </row>
    <row r="221" spans="1:2" x14ac:dyDescent="0.35">
      <c r="A221" s="5" t="s">
        <v>4202</v>
      </c>
      <c r="B221" s="3" t="s">
        <v>4203</v>
      </c>
    </row>
    <row r="222" spans="1:2" x14ac:dyDescent="0.35">
      <c r="A222" s="5" t="s">
        <v>4204</v>
      </c>
      <c r="B222" s="3" t="s">
        <v>4205</v>
      </c>
    </row>
    <row r="223" spans="1:2" x14ac:dyDescent="0.35">
      <c r="A223" s="5" t="s">
        <v>4206</v>
      </c>
      <c r="B223" s="3" t="s">
        <v>4207</v>
      </c>
    </row>
    <row r="224" spans="1:2" x14ac:dyDescent="0.35">
      <c r="A224" s="5" t="s">
        <v>4208</v>
      </c>
      <c r="B224" s="3" t="s">
        <v>4209</v>
      </c>
    </row>
    <row r="225" spans="1:2" x14ac:dyDescent="0.35">
      <c r="A225" s="5" t="s">
        <v>4210</v>
      </c>
      <c r="B225" s="3" t="s">
        <v>4211</v>
      </c>
    </row>
    <row r="226" spans="1:2" x14ac:dyDescent="0.35">
      <c r="A226" s="5" t="s">
        <v>4212</v>
      </c>
      <c r="B226" s="3" t="s">
        <v>4213</v>
      </c>
    </row>
    <row r="227" spans="1:2" x14ac:dyDescent="0.35">
      <c r="A227" s="5" t="s">
        <v>4214</v>
      </c>
      <c r="B227" s="3" t="s">
        <v>4215</v>
      </c>
    </row>
    <row r="228" spans="1:2" x14ac:dyDescent="0.35">
      <c r="A228" s="5" t="s">
        <v>4216</v>
      </c>
      <c r="B228" s="3" t="s">
        <v>4217</v>
      </c>
    </row>
    <row r="229" spans="1:2" x14ac:dyDescent="0.35">
      <c r="A229" s="5" t="s">
        <v>4218</v>
      </c>
      <c r="B229" s="3" t="s">
        <v>4219</v>
      </c>
    </row>
    <row r="230" spans="1:2" x14ac:dyDescent="0.35">
      <c r="A230" s="5" t="s">
        <v>4220</v>
      </c>
      <c r="B230" s="3" t="s">
        <v>4221</v>
      </c>
    </row>
    <row r="231" spans="1:2" x14ac:dyDescent="0.35">
      <c r="A231" s="5" t="s">
        <v>4222</v>
      </c>
      <c r="B231" s="3" t="s">
        <v>4223</v>
      </c>
    </row>
    <row r="232" spans="1:2" x14ac:dyDescent="0.35">
      <c r="A232" s="5" t="s">
        <v>4224</v>
      </c>
      <c r="B232" s="3" t="s">
        <v>4225</v>
      </c>
    </row>
    <row r="233" spans="1:2" x14ac:dyDescent="0.35">
      <c r="A233" s="5" t="s">
        <v>4226</v>
      </c>
      <c r="B233" s="3" t="s">
        <v>4227</v>
      </c>
    </row>
    <row r="234" spans="1:2" x14ac:dyDescent="0.35">
      <c r="A234" s="5" t="s">
        <v>4228</v>
      </c>
      <c r="B234" s="3" t="s">
        <v>4229</v>
      </c>
    </row>
    <row r="235" spans="1:2" x14ac:dyDescent="0.35">
      <c r="A235" s="5" t="s">
        <v>4230</v>
      </c>
      <c r="B235" s="3" t="s">
        <v>4231</v>
      </c>
    </row>
    <row r="236" spans="1:2" x14ac:dyDescent="0.35">
      <c r="A236" s="5" t="s">
        <v>4232</v>
      </c>
      <c r="B236" s="3" t="s">
        <v>4233</v>
      </c>
    </row>
    <row r="237" spans="1:2" x14ac:dyDescent="0.35">
      <c r="A237" s="5" t="s">
        <v>4234</v>
      </c>
      <c r="B237" s="3" t="s">
        <v>4235</v>
      </c>
    </row>
    <row r="238" spans="1:2" x14ac:dyDescent="0.35">
      <c r="A238" s="5" t="s">
        <v>4236</v>
      </c>
      <c r="B238" s="3" t="s">
        <v>4237</v>
      </c>
    </row>
    <row r="239" spans="1:2" x14ac:dyDescent="0.35">
      <c r="A239" s="5" t="s">
        <v>4238</v>
      </c>
      <c r="B239" s="3" t="s">
        <v>4239</v>
      </c>
    </row>
    <row r="240" spans="1:2" x14ac:dyDescent="0.35">
      <c r="A240" s="5" t="s">
        <v>4240</v>
      </c>
      <c r="B240" s="3" t="s">
        <v>4241</v>
      </c>
    </row>
    <row r="241" spans="1:2" x14ac:dyDescent="0.35">
      <c r="A241" s="5" t="s">
        <v>4242</v>
      </c>
      <c r="B241" s="3" t="s">
        <v>4243</v>
      </c>
    </row>
    <row r="242" spans="1:2" x14ac:dyDescent="0.35">
      <c r="A242" s="5" t="s">
        <v>4244</v>
      </c>
      <c r="B242" s="3" t="s">
        <v>4245</v>
      </c>
    </row>
    <row r="243" spans="1:2" x14ac:dyDescent="0.35">
      <c r="A243" s="5" t="s">
        <v>4246</v>
      </c>
      <c r="B243" s="3" t="s">
        <v>4247</v>
      </c>
    </row>
    <row r="244" spans="1:2" x14ac:dyDescent="0.35">
      <c r="A244" s="5" t="s">
        <v>4248</v>
      </c>
      <c r="B244" s="3" t="s">
        <v>4249</v>
      </c>
    </row>
    <row r="245" spans="1:2" x14ac:dyDescent="0.35">
      <c r="A245" s="5" t="s">
        <v>4250</v>
      </c>
      <c r="B245" s="3" t="s">
        <v>4251</v>
      </c>
    </row>
    <row r="246" spans="1:2" x14ac:dyDescent="0.35">
      <c r="A246" s="5" t="s">
        <v>4252</v>
      </c>
      <c r="B246" s="3" t="s">
        <v>4253</v>
      </c>
    </row>
    <row r="247" spans="1:2" x14ac:dyDescent="0.35">
      <c r="A247" s="5" t="s">
        <v>4254</v>
      </c>
      <c r="B247" s="3" t="s">
        <v>4255</v>
      </c>
    </row>
    <row r="248" spans="1:2" x14ac:dyDescent="0.35">
      <c r="A248" s="5" t="s">
        <v>4256</v>
      </c>
      <c r="B248" s="3" t="s">
        <v>4257</v>
      </c>
    </row>
    <row r="249" spans="1:2" x14ac:dyDescent="0.35">
      <c r="A249" s="5" t="s">
        <v>4258</v>
      </c>
      <c r="B249" s="3" t="s">
        <v>4259</v>
      </c>
    </row>
    <row r="250" spans="1:2" x14ac:dyDescent="0.35">
      <c r="A250" s="5" t="s">
        <v>4260</v>
      </c>
      <c r="B250" s="3" t="s">
        <v>4261</v>
      </c>
    </row>
    <row r="251" spans="1:2" x14ac:dyDescent="0.35">
      <c r="A251" s="5" t="s">
        <v>4262</v>
      </c>
      <c r="B251" s="3" t="s">
        <v>4263</v>
      </c>
    </row>
    <row r="252" spans="1:2" x14ac:dyDescent="0.35">
      <c r="A252" s="5" t="s">
        <v>4264</v>
      </c>
      <c r="B252" s="3" t="s">
        <v>4265</v>
      </c>
    </row>
    <row r="253" spans="1:2" x14ac:dyDescent="0.35">
      <c r="A253" s="5" t="s">
        <v>4266</v>
      </c>
      <c r="B253" s="3" t="s">
        <v>4267</v>
      </c>
    </row>
    <row r="254" spans="1:2" x14ac:dyDescent="0.35">
      <c r="A254" s="5" t="s">
        <v>4268</v>
      </c>
      <c r="B254" s="3" t="s">
        <v>4269</v>
      </c>
    </row>
    <row r="255" spans="1:2" x14ac:dyDescent="0.35">
      <c r="A255" s="5" t="s">
        <v>4270</v>
      </c>
      <c r="B255" s="3" t="s">
        <v>4271</v>
      </c>
    </row>
    <row r="256" spans="1:2" x14ac:dyDescent="0.35">
      <c r="A256" s="5" t="s">
        <v>4272</v>
      </c>
      <c r="B256" s="3" t="s">
        <v>4273</v>
      </c>
    </row>
    <row r="257" spans="1:2" x14ac:dyDescent="0.35">
      <c r="A257" s="5" t="s">
        <v>4274</v>
      </c>
      <c r="B257" s="3" t="s">
        <v>4275</v>
      </c>
    </row>
    <row r="258" spans="1:2" x14ac:dyDescent="0.35">
      <c r="A258" s="5" t="s">
        <v>4276</v>
      </c>
      <c r="B258" s="3" t="s">
        <v>4277</v>
      </c>
    </row>
    <row r="259" spans="1:2" x14ac:dyDescent="0.35">
      <c r="A259" s="5" t="s">
        <v>4278</v>
      </c>
      <c r="B259" s="3" t="s">
        <v>4279</v>
      </c>
    </row>
    <row r="260" spans="1:2" x14ac:dyDescent="0.35">
      <c r="A260" s="5" t="s">
        <v>4280</v>
      </c>
      <c r="B260" s="3" t="s">
        <v>4281</v>
      </c>
    </row>
    <row r="261" spans="1:2" x14ac:dyDescent="0.35">
      <c r="A261" s="5" t="s">
        <v>4282</v>
      </c>
      <c r="B261" s="3" t="s">
        <v>4283</v>
      </c>
    </row>
    <row r="262" spans="1:2" x14ac:dyDescent="0.35">
      <c r="A262" s="5" t="s">
        <v>4284</v>
      </c>
      <c r="B262" s="3" t="s">
        <v>4285</v>
      </c>
    </row>
    <row r="263" spans="1:2" x14ac:dyDescent="0.35">
      <c r="A263" s="5" t="s">
        <v>4286</v>
      </c>
      <c r="B263" s="3" t="s">
        <v>4287</v>
      </c>
    </row>
    <row r="264" spans="1:2" x14ac:dyDescent="0.35">
      <c r="A264" s="5" t="s">
        <v>4288</v>
      </c>
      <c r="B264" s="3" t="s">
        <v>4289</v>
      </c>
    </row>
    <row r="265" spans="1:2" x14ac:dyDescent="0.35">
      <c r="A265" s="5" t="s">
        <v>4290</v>
      </c>
      <c r="B265" s="3" t="s">
        <v>4291</v>
      </c>
    </row>
    <row r="266" spans="1:2" x14ac:dyDescent="0.35">
      <c r="A266" s="5" t="s">
        <v>4292</v>
      </c>
      <c r="B266" s="3" t="s">
        <v>4293</v>
      </c>
    </row>
    <row r="267" spans="1:2" x14ac:dyDescent="0.35">
      <c r="A267" s="5" t="s">
        <v>4294</v>
      </c>
      <c r="B267" s="3" t="s">
        <v>4295</v>
      </c>
    </row>
    <row r="268" spans="1:2" x14ac:dyDescent="0.35">
      <c r="A268" s="5" t="s">
        <v>4296</v>
      </c>
      <c r="B268" s="3" t="s">
        <v>4297</v>
      </c>
    </row>
    <row r="269" spans="1:2" x14ac:dyDescent="0.35">
      <c r="A269" s="5" t="s">
        <v>4298</v>
      </c>
      <c r="B269" s="3" t="s">
        <v>4299</v>
      </c>
    </row>
    <row r="270" spans="1:2" x14ac:dyDescent="0.35">
      <c r="A270" s="5" t="s">
        <v>4300</v>
      </c>
      <c r="B270" s="3" t="s">
        <v>4301</v>
      </c>
    </row>
    <row r="271" spans="1:2" x14ac:dyDescent="0.35">
      <c r="A271" s="5" t="s">
        <v>4302</v>
      </c>
      <c r="B271" s="3" t="s">
        <v>4303</v>
      </c>
    </row>
    <row r="272" spans="1:2" x14ac:dyDescent="0.35">
      <c r="A272" s="5" t="s">
        <v>4304</v>
      </c>
      <c r="B272" s="3" t="s">
        <v>4305</v>
      </c>
    </row>
    <row r="273" spans="1:2" x14ac:dyDescent="0.35">
      <c r="A273" s="5" t="s">
        <v>4306</v>
      </c>
      <c r="B273" s="3" t="s">
        <v>4307</v>
      </c>
    </row>
    <row r="274" spans="1:2" x14ac:dyDescent="0.35">
      <c r="A274" s="5" t="s">
        <v>4308</v>
      </c>
      <c r="B274" s="3" t="s">
        <v>4309</v>
      </c>
    </row>
    <row r="275" spans="1:2" x14ac:dyDescent="0.35">
      <c r="A275" s="5" t="s">
        <v>4310</v>
      </c>
      <c r="B275" s="3" t="s">
        <v>4311</v>
      </c>
    </row>
    <row r="276" spans="1:2" x14ac:dyDescent="0.35">
      <c r="A276" s="5" t="s">
        <v>4312</v>
      </c>
      <c r="B276" s="3" t="s">
        <v>4313</v>
      </c>
    </row>
    <row r="277" spans="1:2" x14ac:dyDescent="0.35">
      <c r="A277" s="5" t="s">
        <v>4314</v>
      </c>
      <c r="B277" s="3" t="s">
        <v>4315</v>
      </c>
    </row>
    <row r="278" spans="1:2" x14ac:dyDescent="0.35">
      <c r="A278" s="5" t="s">
        <v>4316</v>
      </c>
      <c r="B278" s="3" t="s">
        <v>4317</v>
      </c>
    </row>
    <row r="279" spans="1:2" x14ac:dyDescent="0.35">
      <c r="A279" s="5" t="s">
        <v>4318</v>
      </c>
      <c r="B279" s="3" t="s">
        <v>4319</v>
      </c>
    </row>
    <row r="280" spans="1:2" x14ac:dyDescent="0.35">
      <c r="A280" s="5" t="s">
        <v>4320</v>
      </c>
      <c r="B280" s="3" t="s">
        <v>4321</v>
      </c>
    </row>
    <row r="281" spans="1:2" x14ac:dyDescent="0.35">
      <c r="A281" s="5" t="s">
        <v>4322</v>
      </c>
      <c r="B281" s="3" t="s">
        <v>4323</v>
      </c>
    </row>
    <row r="282" spans="1:2" x14ac:dyDescent="0.35">
      <c r="A282" s="5" t="s">
        <v>4324</v>
      </c>
      <c r="B282" s="3" t="s">
        <v>4325</v>
      </c>
    </row>
    <row r="283" spans="1:2" x14ac:dyDescent="0.35">
      <c r="A283" s="5" t="s">
        <v>4326</v>
      </c>
      <c r="B283" s="3" t="s">
        <v>4327</v>
      </c>
    </row>
    <row r="284" spans="1:2" x14ac:dyDescent="0.35">
      <c r="A284" s="5" t="s">
        <v>4328</v>
      </c>
      <c r="B284" s="3" t="s">
        <v>4329</v>
      </c>
    </row>
    <row r="285" spans="1:2" x14ac:dyDescent="0.35">
      <c r="A285" s="5" t="s">
        <v>4330</v>
      </c>
      <c r="B285" s="3" t="s">
        <v>4331</v>
      </c>
    </row>
    <row r="286" spans="1:2" x14ac:dyDescent="0.35">
      <c r="A286" s="5" t="s">
        <v>4332</v>
      </c>
      <c r="B286" s="3" t="s">
        <v>4333</v>
      </c>
    </row>
    <row r="287" spans="1:2" x14ac:dyDescent="0.35">
      <c r="A287" s="5" t="s">
        <v>4334</v>
      </c>
      <c r="B287" s="3" t="s">
        <v>4335</v>
      </c>
    </row>
    <row r="288" spans="1:2" x14ac:dyDescent="0.35">
      <c r="A288" s="5" t="s">
        <v>4336</v>
      </c>
      <c r="B288" s="3" t="s">
        <v>4337</v>
      </c>
    </row>
    <row r="289" spans="1:2" x14ac:dyDescent="0.35">
      <c r="A289" s="5" t="s">
        <v>4338</v>
      </c>
      <c r="B289" s="3" t="s">
        <v>4339</v>
      </c>
    </row>
    <row r="290" spans="1:2" x14ac:dyDescent="0.35">
      <c r="A290" s="5" t="s">
        <v>4340</v>
      </c>
      <c r="B290" s="3" t="s">
        <v>4341</v>
      </c>
    </row>
    <row r="291" spans="1:2" x14ac:dyDescent="0.35">
      <c r="A291" s="5" t="s">
        <v>4342</v>
      </c>
      <c r="B291" s="3" t="s">
        <v>4343</v>
      </c>
    </row>
    <row r="292" spans="1:2" x14ac:dyDescent="0.35">
      <c r="A292" s="5" t="s">
        <v>4344</v>
      </c>
      <c r="B292" s="3" t="s">
        <v>4345</v>
      </c>
    </row>
    <row r="293" spans="1:2" x14ac:dyDescent="0.35">
      <c r="A293" s="5" t="s">
        <v>4346</v>
      </c>
      <c r="B293" s="3" t="s">
        <v>4347</v>
      </c>
    </row>
    <row r="294" spans="1:2" x14ac:dyDescent="0.35">
      <c r="A294" s="5" t="s">
        <v>4348</v>
      </c>
      <c r="B294" s="3" t="s">
        <v>4349</v>
      </c>
    </row>
    <row r="295" spans="1:2" x14ac:dyDescent="0.35">
      <c r="A295" s="5" t="s">
        <v>4350</v>
      </c>
      <c r="B295" s="3" t="s">
        <v>4351</v>
      </c>
    </row>
    <row r="296" spans="1:2" x14ac:dyDescent="0.35">
      <c r="A296" s="5" t="s">
        <v>4352</v>
      </c>
      <c r="B296" s="3" t="s">
        <v>4353</v>
      </c>
    </row>
    <row r="297" spans="1:2" x14ac:dyDescent="0.35">
      <c r="A297" s="5" t="s">
        <v>4354</v>
      </c>
      <c r="B297" s="3" t="s">
        <v>4355</v>
      </c>
    </row>
    <row r="298" spans="1:2" x14ac:dyDescent="0.35">
      <c r="A298" s="5" t="s">
        <v>4356</v>
      </c>
      <c r="B298" s="3" t="s">
        <v>4357</v>
      </c>
    </row>
    <row r="299" spans="1:2" x14ac:dyDescent="0.35">
      <c r="A299" s="5" t="s">
        <v>4358</v>
      </c>
      <c r="B299" s="3" t="s">
        <v>4359</v>
      </c>
    </row>
    <row r="300" spans="1:2" x14ac:dyDescent="0.35">
      <c r="A300" s="5" t="s">
        <v>4360</v>
      </c>
      <c r="B300" s="3" t="s">
        <v>4361</v>
      </c>
    </row>
    <row r="301" spans="1:2" x14ac:dyDescent="0.35">
      <c r="A301" s="5" t="s">
        <v>4362</v>
      </c>
      <c r="B301" s="3" t="s">
        <v>4363</v>
      </c>
    </row>
    <row r="302" spans="1:2" x14ac:dyDescent="0.35">
      <c r="A302" s="5" t="s">
        <v>4364</v>
      </c>
      <c r="B302" s="3" t="s">
        <v>4365</v>
      </c>
    </row>
    <row r="303" spans="1:2" x14ac:dyDescent="0.35">
      <c r="A303" s="5" t="s">
        <v>4366</v>
      </c>
      <c r="B303" s="3" t="s">
        <v>4367</v>
      </c>
    </row>
    <row r="304" spans="1:2" x14ac:dyDescent="0.35">
      <c r="A304" s="5" t="s">
        <v>4368</v>
      </c>
      <c r="B304" s="3" t="s">
        <v>4369</v>
      </c>
    </row>
    <row r="305" spans="1:2" x14ac:dyDescent="0.35">
      <c r="A305" s="5" t="s">
        <v>4370</v>
      </c>
      <c r="B305" s="3" t="s">
        <v>4371</v>
      </c>
    </row>
    <row r="306" spans="1:2" x14ac:dyDescent="0.35">
      <c r="A306" s="5" t="s">
        <v>4372</v>
      </c>
      <c r="B306" s="3" t="s">
        <v>4373</v>
      </c>
    </row>
    <row r="307" spans="1:2" x14ac:dyDescent="0.35">
      <c r="A307" s="5" t="s">
        <v>4374</v>
      </c>
      <c r="B307" s="3" t="s">
        <v>4375</v>
      </c>
    </row>
    <row r="308" spans="1:2" x14ac:dyDescent="0.35">
      <c r="A308" s="5" t="s">
        <v>4376</v>
      </c>
      <c r="B308" s="3" t="s">
        <v>4377</v>
      </c>
    </row>
    <row r="309" spans="1:2" x14ac:dyDescent="0.35">
      <c r="A309" s="5" t="s">
        <v>4378</v>
      </c>
      <c r="B309" s="3" t="s">
        <v>4379</v>
      </c>
    </row>
    <row r="310" spans="1:2" x14ac:dyDescent="0.35">
      <c r="A310" s="5" t="s">
        <v>4380</v>
      </c>
      <c r="B310" s="3" t="s">
        <v>4381</v>
      </c>
    </row>
    <row r="311" spans="1:2" x14ac:dyDescent="0.35">
      <c r="A311" s="5" t="s">
        <v>4382</v>
      </c>
      <c r="B311" s="3" t="s">
        <v>4383</v>
      </c>
    </row>
    <row r="312" spans="1:2" x14ac:dyDescent="0.35">
      <c r="A312" s="5" t="s">
        <v>4384</v>
      </c>
      <c r="B312" s="3" t="s">
        <v>4385</v>
      </c>
    </row>
    <row r="313" spans="1:2" x14ac:dyDescent="0.35">
      <c r="A313" s="5" t="s">
        <v>4386</v>
      </c>
      <c r="B313" s="3" t="s">
        <v>4387</v>
      </c>
    </row>
    <row r="314" spans="1:2" x14ac:dyDescent="0.35">
      <c r="A314" s="5" t="s">
        <v>4388</v>
      </c>
      <c r="B314" s="3" t="s">
        <v>4389</v>
      </c>
    </row>
    <row r="315" spans="1:2" x14ac:dyDescent="0.35">
      <c r="A315" s="5" t="s">
        <v>4390</v>
      </c>
      <c r="B315" s="3" t="s">
        <v>4391</v>
      </c>
    </row>
    <row r="316" spans="1:2" x14ac:dyDescent="0.35">
      <c r="A316" s="5" t="s">
        <v>4392</v>
      </c>
      <c r="B316" s="3" t="s">
        <v>4393</v>
      </c>
    </row>
    <row r="317" spans="1:2" x14ac:dyDescent="0.35">
      <c r="A317" s="5" t="s">
        <v>4394</v>
      </c>
      <c r="B317" s="3" t="s">
        <v>4395</v>
      </c>
    </row>
    <row r="318" spans="1:2" x14ac:dyDescent="0.35">
      <c r="A318" s="5" t="s">
        <v>4396</v>
      </c>
      <c r="B318" s="3" t="s">
        <v>4397</v>
      </c>
    </row>
    <row r="319" spans="1:2" x14ac:dyDescent="0.35">
      <c r="A319" s="5" t="s">
        <v>4398</v>
      </c>
      <c r="B319" s="3" t="s">
        <v>4399</v>
      </c>
    </row>
    <row r="320" spans="1:2" x14ac:dyDescent="0.35">
      <c r="A320" s="5" t="s">
        <v>4400</v>
      </c>
      <c r="B320" s="3" t="s">
        <v>4401</v>
      </c>
    </row>
    <row r="321" spans="1:2" x14ac:dyDescent="0.35">
      <c r="A321" s="5" t="s">
        <v>4402</v>
      </c>
      <c r="B321" s="3" t="s">
        <v>4403</v>
      </c>
    </row>
    <row r="322" spans="1:2" x14ac:dyDescent="0.35">
      <c r="A322" s="5" t="s">
        <v>4404</v>
      </c>
      <c r="B322" s="3" t="s">
        <v>4405</v>
      </c>
    </row>
    <row r="323" spans="1:2" x14ac:dyDescent="0.35">
      <c r="A323" s="5" t="s">
        <v>4406</v>
      </c>
      <c r="B323" s="3" t="s">
        <v>4407</v>
      </c>
    </row>
    <row r="324" spans="1:2" x14ac:dyDescent="0.35">
      <c r="A324" s="5" t="s">
        <v>4408</v>
      </c>
      <c r="B324" s="3" t="s">
        <v>4409</v>
      </c>
    </row>
    <row r="325" spans="1:2" x14ac:dyDescent="0.35">
      <c r="A325" s="5" t="s">
        <v>4410</v>
      </c>
      <c r="B325" s="3" t="s">
        <v>4411</v>
      </c>
    </row>
    <row r="326" spans="1:2" x14ac:dyDescent="0.35">
      <c r="A326" s="5" t="s">
        <v>4412</v>
      </c>
      <c r="B326" s="3" t="s">
        <v>4413</v>
      </c>
    </row>
    <row r="327" spans="1:2" x14ac:dyDescent="0.35">
      <c r="A327" s="5" t="s">
        <v>4414</v>
      </c>
      <c r="B327" s="3" t="s">
        <v>4415</v>
      </c>
    </row>
    <row r="328" spans="1:2" x14ac:dyDescent="0.35">
      <c r="A328" s="5" t="s">
        <v>4416</v>
      </c>
      <c r="B328" s="3" t="s">
        <v>4417</v>
      </c>
    </row>
    <row r="329" spans="1:2" x14ac:dyDescent="0.35">
      <c r="A329" s="5" t="s">
        <v>4418</v>
      </c>
      <c r="B329" s="3" t="s">
        <v>4419</v>
      </c>
    </row>
    <row r="330" spans="1:2" x14ac:dyDescent="0.35">
      <c r="A330" s="5" t="s">
        <v>4420</v>
      </c>
      <c r="B330" s="3" t="s">
        <v>4421</v>
      </c>
    </row>
    <row r="331" spans="1:2" x14ac:dyDescent="0.35">
      <c r="A331" s="5" t="s">
        <v>4422</v>
      </c>
      <c r="B331" s="3" t="s">
        <v>4423</v>
      </c>
    </row>
    <row r="332" spans="1:2" x14ac:dyDescent="0.35">
      <c r="A332" s="5" t="s">
        <v>4424</v>
      </c>
      <c r="B332" s="3" t="s">
        <v>4425</v>
      </c>
    </row>
    <row r="333" spans="1:2" x14ac:dyDescent="0.35">
      <c r="A333" s="5" t="s">
        <v>4426</v>
      </c>
      <c r="B333" s="3" t="s">
        <v>4427</v>
      </c>
    </row>
    <row r="334" spans="1:2" x14ac:dyDescent="0.35">
      <c r="A334" s="5" t="s">
        <v>4428</v>
      </c>
      <c r="B334" s="3" t="s">
        <v>4429</v>
      </c>
    </row>
    <row r="335" spans="1:2" x14ac:dyDescent="0.35">
      <c r="A335" s="5" t="s">
        <v>4430</v>
      </c>
      <c r="B335" s="3" t="s">
        <v>4431</v>
      </c>
    </row>
    <row r="336" spans="1:2" x14ac:dyDescent="0.35">
      <c r="A336" s="5" t="s">
        <v>4432</v>
      </c>
      <c r="B336" s="3" t="s">
        <v>4433</v>
      </c>
    </row>
    <row r="337" spans="1:2" x14ac:dyDescent="0.35">
      <c r="A337" s="5" t="s">
        <v>4434</v>
      </c>
      <c r="B337" s="3" t="s">
        <v>4435</v>
      </c>
    </row>
    <row r="338" spans="1:2" x14ac:dyDescent="0.35">
      <c r="A338" s="5" t="s">
        <v>4436</v>
      </c>
      <c r="B338" s="3" t="s">
        <v>4437</v>
      </c>
    </row>
    <row r="339" spans="1:2" x14ac:dyDescent="0.35">
      <c r="A339" s="5" t="s">
        <v>4438</v>
      </c>
      <c r="B339" s="3" t="s">
        <v>4439</v>
      </c>
    </row>
    <row r="340" spans="1:2" x14ac:dyDescent="0.35">
      <c r="A340" s="5" t="s">
        <v>4440</v>
      </c>
      <c r="B340" s="3" t="s">
        <v>4441</v>
      </c>
    </row>
    <row r="341" spans="1:2" x14ac:dyDescent="0.35">
      <c r="A341" s="5" t="s">
        <v>4442</v>
      </c>
      <c r="B341" s="3" t="s">
        <v>4443</v>
      </c>
    </row>
    <row r="342" spans="1:2" x14ac:dyDescent="0.35">
      <c r="A342" s="5" t="s">
        <v>4444</v>
      </c>
      <c r="B342" s="3" t="s">
        <v>4445</v>
      </c>
    </row>
    <row r="343" spans="1:2" x14ac:dyDescent="0.35">
      <c r="A343" s="5" t="s">
        <v>4446</v>
      </c>
      <c r="B343" s="3" t="s">
        <v>4447</v>
      </c>
    </row>
    <row r="344" spans="1:2" x14ac:dyDescent="0.35">
      <c r="A344" s="5" t="s">
        <v>4448</v>
      </c>
      <c r="B344" s="3" t="s">
        <v>4449</v>
      </c>
    </row>
    <row r="345" spans="1:2" x14ac:dyDescent="0.35">
      <c r="A345" s="5" t="s">
        <v>4450</v>
      </c>
      <c r="B345" s="3" t="s">
        <v>4451</v>
      </c>
    </row>
    <row r="346" spans="1:2" x14ac:dyDescent="0.35">
      <c r="A346" s="5" t="s">
        <v>4452</v>
      </c>
      <c r="B346" s="3" t="s">
        <v>4453</v>
      </c>
    </row>
    <row r="347" spans="1:2" x14ac:dyDescent="0.35">
      <c r="A347" s="5" t="s">
        <v>4454</v>
      </c>
      <c r="B347" s="3" t="s">
        <v>4455</v>
      </c>
    </row>
    <row r="348" spans="1:2" x14ac:dyDescent="0.35">
      <c r="A348" s="5" t="s">
        <v>4456</v>
      </c>
      <c r="B348" s="3" t="s">
        <v>4457</v>
      </c>
    </row>
    <row r="349" spans="1:2" x14ac:dyDescent="0.35">
      <c r="A349" s="5" t="s">
        <v>4458</v>
      </c>
      <c r="B349" s="3" t="s">
        <v>4459</v>
      </c>
    </row>
    <row r="350" spans="1:2" x14ac:dyDescent="0.35">
      <c r="A350" s="5" t="s">
        <v>4460</v>
      </c>
      <c r="B350" s="3" t="s">
        <v>4461</v>
      </c>
    </row>
    <row r="351" spans="1:2" x14ac:dyDescent="0.35">
      <c r="A351" s="5" t="s">
        <v>4462</v>
      </c>
      <c r="B351" s="3" t="s">
        <v>4463</v>
      </c>
    </row>
    <row r="352" spans="1:2" x14ac:dyDescent="0.35">
      <c r="A352" s="5" t="s">
        <v>4464</v>
      </c>
      <c r="B352" s="3" t="s">
        <v>4465</v>
      </c>
    </row>
    <row r="353" spans="1:2" x14ac:dyDescent="0.35">
      <c r="A353" s="5" t="s">
        <v>4466</v>
      </c>
      <c r="B353" s="3" t="s">
        <v>4467</v>
      </c>
    </row>
    <row r="354" spans="1:2" x14ac:dyDescent="0.35">
      <c r="A354" s="5" t="s">
        <v>4468</v>
      </c>
      <c r="B354" s="3" t="s">
        <v>4469</v>
      </c>
    </row>
    <row r="355" spans="1:2" x14ac:dyDescent="0.35">
      <c r="A355" s="5" t="s">
        <v>4470</v>
      </c>
      <c r="B355" s="3" t="s">
        <v>4471</v>
      </c>
    </row>
    <row r="356" spans="1:2" x14ac:dyDescent="0.35">
      <c r="A356" s="5" t="s">
        <v>4472</v>
      </c>
      <c r="B356" s="3" t="s">
        <v>4473</v>
      </c>
    </row>
    <row r="357" spans="1:2" x14ac:dyDescent="0.35">
      <c r="A357" s="5" t="s">
        <v>4474</v>
      </c>
      <c r="B357" s="3" t="s">
        <v>4475</v>
      </c>
    </row>
    <row r="358" spans="1:2" x14ac:dyDescent="0.35">
      <c r="A358" s="5" t="s">
        <v>4476</v>
      </c>
      <c r="B358" s="3" t="s">
        <v>4477</v>
      </c>
    </row>
    <row r="359" spans="1:2" x14ac:dyDescent="0.35">
      <c r="A359" s="5" t="s">
        <v>4478</v>
      </c>
      <c r="B359" s="3" t="s">
        <v>4479</v>
      </c>
    </row>
    <row r="360" spans="1:2" x14ac:dyDescent="0.35">
      <c r="A360" s="5" t="s">
        <v>4480</v>
      </c>
      <c r="B360" s="3" t="s">
        <v>4481</v>
      </c>
    </row>
    <row r="361" spans="1:2" x14ac:dyDescent="0.35">
      <c r="A361" s="5" t="s">
        <v>4482</v>
      </c>
      <c r="B361" s="3" t="s">
        <v>4483</v>
      </c>
    </row>
    <row r="362" spans="1:2" x14ac:dyDescent="0.35">
      <c r="A362" s="5" t="s">
        <v>4484</v>
      </c>
      <c r="B362" s="3" t="s">
        <v>4485</v>
      </c>
    </row>
    <row r="363" spans="1:2" x14ac:dyDescent="0.35">
      <c r="A363" s="5" t="s">
        <v>4486</v>
      </c>
      <c r="B363" s="3" t="s">
        <v>4487</v>
      </c>
    </row>
    <row r="364" spans="1:2" x14ac:dyDescent="0.35">
      <c r="A364" s="5" t="s">
        <v>4488</v>
      </c>
      <c r="B364" s="3" t="s">
        <v>4489</v>
      </c>
    </row>
    <row r="365" spans="1:2" x14ac:dyDescent="0.35">
      <c r="A365" s="5" t="s">
        <v>4490</v>
      </c>
      <c r="B365" s="3" t="s">
        <v>4491</v>
      </c>
    </row>
    <row r="366" spans="1:2" x14ac:dyDescent="0.35">
      <c r="A366" s="5" t="s">
        <v>4492</v>
      </c>
      <c r="B366" s="3" t="s">
        <v>4493</v>
      </c>
    </row>
    <row r="367" spans="1:2" x14ac:dyDescent="0.35">
      <c r="A367" s="5" t="s">
        <v>4494</v>
      </c>
      <c r="B367" s="3" t="s">
        <v>4495</v>
      </c>
    </row>
    <row r="368" spans="1:2" x14ac:dyDescent="0.35">
      <c r="A368" s="5" t="s">
        <v>4496</v>
      </c>
      <c r="B368" s="3" t="s">
        <v>4497</v>
      </c>
    </row>
    <row r="369" spans="1:2" x14ac:dyDescent="0.35">
      <c r="A369" s="5" t="s">
        <v>4498</v>
      </c>
      <c r="B369" s="3" t="s">
        <v>4499</v>
      </c>
    </row>
    <row r="370" spans="1:2" x14ac:dyDescent="0.35">
      <c r="A370" s="5" t="s">
        <v>4500</v>
      </c>
      <c r="B370" s="3" t="s">
        <v>4501</v>
      </c>
    </row>
    <row r="371" spans="1:2" x14ac:dyDescent="0.35">
      <c r="A371" s="5" t="s">
        <v>4502</v>
      </c>
      <c r="B371" s="3" t="s">
        <v>4503</v>
      </c>
    </row>
    <row r="372" spans="1:2" x14ac:dyDescent="0.35">
      <c r="A372" s="5" t="s">
        <v>4504</v>
      </c>
      <c r="B372" s="3" t="s">
        <v>4505</v>
      </c>
    </row>
    <row r="373" spans="1:2" x14ac:dyDescent="0.35">
      <c r="A373" s="5" t="s">
        <v>4506</v>
      </c>
      <c r="B373" s="3" t="s">
        <v>4507</v>
      </c>
    </row>
    <row r="374" spans="1:2" x14ac:dyDescent="0.35">
      <c r="A374" s="5" t="s">
        <v>4508</v>
      </c>
      <c r="B374" s="3" t="s">
        <v>4509</v>
      </c>
    </row>
    <row r="375" spans="1:2" x14ac:dyDescent="0.35">
      <c r="A375" s="5" t="s">
        <v>4510</v>
      </c>
      <c r="B375" s="3" t="s">
        <v>4511</v>
      </c>
    </row>
    <row r="376" spans="1:2" x14ac:dyDescent="0.35">
      <c r="A376" s="5" t="s">
        <v>4512</v>
      </c>
      <c r="B376" s="3" t="s">
        <v>4513</v>
      </c>
    </row>
    <row r="377" spans="1:2" x14ac:dyDescent="0.35">
      <c r="A377" s="5" t="s">
        <v>4514</v>
      </c>
      <c r="B377" s="3" t="s">
        <v>4515</v>
      </c>
    </row>
    <row r="378" spans="1:2" x14ac:dyDescent="0.35">
      <c r="A378" s="5" t="s">
        <v>4516</v>
      </c>
      <c r="B378" s="3" t="s">
        <v>4517</v>
      </c>
    </row>
    <row r="379" spans="1:2" x14ac:dyDescent="0.35">
      <c r="A379" s="5" t="s">
        <v>4518</v>
      </c>
      <c r="B379" s="3" t="s">
        <v>4519</v>
      </c>
    </row>
    <row r="380" spans="1:2" x14ac:dyDescent="0.35">
      <c r="A380" s="5" t="s">
        <v>4520</v>
      </c>
      <c r="B380" s="3" t="s">
        <v>4521</v>
      </c>
    </row>
    <row r="381" spans="1:2" x14ac:dyDescent="0.35">
      <c r="A381" s="5" t="s">
        <v>4522</v>
      </c>
      <c r="B381" s="3" t="s">
        <v>4523</v>
      </c>
    </row>
    <row r="382" spans="1:2" x14ac:dyDescent="0.35">
      <c r="A382" s="5" t="s">
        <v>4524</v>
      </c>
      <c r="B382" s="3" t="s">
        <v>4525</v>
      </c>
    </row>
    <row r="383" spans="1:2" x14ac:dyDescent="0.35">
      <c r="A383" s="5" t="s">
        <v>4526</v>
      </c>
      <c r="B383" s="3" t="s">
        <v>4527</v>
      </c>
    </row>
    <row r="384" spans="1:2" x14ac:dyDescent="0.35">
      <c r="A384" s="5" t="s">
        <v>4528</v>
      </c>
      <c r="B384" s="3" t="s">
        <v>4529</v>
      </c>
    </row>
    <row r="385" spans="1:2" x14ac:dyDescent="0.35">
      <c r="A385" s="5" t="s">
        <v>4530</v>
      </c>
      <c r="B385" s="3" t="s">
        <v>4531</v>
      </c>
    </row>
    <row r="386" spans="1:2" x14ac:dyDescent="0.35">
      <c r="A386" s="5" t="s">
        <v>4532</v>
      </c>
      <c r="B386" s="3" t="s">
        <v>4533</v>
      </c>
    </row>
    <row r="387" spans="1:2" x14ac:dyDescent="0.35">
      <c r="A387" s="5" t="s">
        <v>4534</v>
      </c>
      <c r="B387" s="3" t="s">
        <v>4535</v>
      </c>
    </row>
    <row r="388" spans="1:2" x14ac:dyDescent="0.35">
      <c r="A388" s="5" t="s">
        <v>4536</v>
      </c>
      <c r="B388" s="3" t="s">
        <v>4537</v>
      </c>
    </row>
    <row r="389" spans="1:2" x14ac:dyDescent="0.35">
      <c r="A389" s="5" t="s">
        <v>4538</v>
      </c>
      <c r="B389" s="3" t="s">
        <v>4539</v>
      </c>
    </row>
    <row r="390" spans="1:2" x14ac:dyDescent="0.35">
      <c r="A390" s="5" t="s">
        <v>4540</v>
      </c>
      <c r="B390" s="3" t="s">
        <v>4541</v>
      </c>
    </row>
    <row r="391" spans="1:2" x14ac:dyDescent="0.35">
      <c r="A391" s="5" t="s">
        <v>4542</v>
      </c>
      <c r="B391" s="3" t="s">
        <v>4543</v>
      </c>
    </row>
    <row r="392" spans="1:2" x14ac:dyDescent="0.35">
      <c r="A392" s="5" t="s">
        <v>4544</v>
      </c>
      <c r="B392" s="3" t="s">
        <v>4545</v>
      </c>
    </row>
    <row r="393" spans="1:2" x14ac:dyDescent="0.35">
      <c r="A393" s="5" t="s">
        <v>4546</v>
      </c>
      <c r="B393" s="3" t="s">
        <v>4547</v>
      </c>
    </row>
    <row r="394" spans="1:2" x14ac:dyDescent="0.35">
      <c r="A394" s="5" t="s">
        <v>4548</v>
      </c>
      <c r="B394" s="3" t="s">
        <v>4549</v>
      </c>
    </row>
    <row r="395" spans="1:2" x14ac:dyDescent="0.35">
      <c r="A395" s="5" t="s">
        <v>4550</v>
      </c>
      <c r="B395" s="3" t="s">
        <v>4551</v>
      </c>
    </row>
    <row r="396" spans="1:2" x14ac:dyDescent="0.35">
      <c r="A396" s="5" t="s">
        <v>4552</v>
      </c>
      <c r="B396" s="3" t="s">
        <v>4553</v>
      </c>
    </row>
    <row r="397" spans="1:2" x14ac:dyDescent="0.35">
      <c r="A397" s="5" t="s">
        <v>4554</v>
      </c>
      <c r="B397" s="3" t="s">
        <v>4555</v>
      </c>
    </row>
    <row r="398" spans="1:2" x14ac:dyDescent="0.35">
      <c r="A398" s="5" t="s">
        <v>4556</v>
      </c>
      <c r="B398" s="3" t="s">
        <v>4557</v>
      </c>
    </row>
    <row r="399" spans="1:2" x14ac:dyDescent="0.35">
      <c r="A399" s="5" t="s">
        <v>4558</v>
      </c>
      <c r="B399" s="3" t="s">
        <v>4559</v>
      </c>
    </row>
    <row r="400" spans="1:2" x14ac:dyDescent="0.35">
      <c r="A400" s="5" t="s">
        <v>4560</v>
      </c>
      <c r="B400" s="3" t="s">
        <v>4561</v>
      </c>
    </row>
    <row r="401" spans="1:2" x14ac:dyDescent="0.35">
      <c r="A401" s="5" t="s">
        <v>4562</v>
      </c>
      <c r="B401" s="3" t="s">
        <v>4563</v>
      </c>
    </row>
    <row r="402" spans="1:2" x14ac:dyDescent="0.35">
      <c r="A402" s="5" t="s">
        <v>4564</v>
      </c>
      <c r="B402" s="3" t="s">
        <v>4565</v>
      </c>
    </row>
    <row r="403" spans="1:2" x14ac:dyDescent="0.35">
      <c r="A403" s="5" t="s">
        <v>4566</v>
      </c>
      <c r="B403" s="3" t="s">
        <v>4567</v>
      </c>
    </row>
    <row r="404" spans="1:2" x14ac:dyDescent="0.35">
      <c r="A404" s="5" t="s">
        <v>4568</v>
      </c>
      <c r="B404" s="3" t="s">
        <v>4569</v>
      </c>
    </row>
    <row r="405" spans="1:2" x14ac:dyDescent="0.35">
      <c r="A405" s="5" t="s">
        <v>4570</v>
      </c>
      <c r="B405" s="3" t="s">
        <v>4571</v>
      </c>
    </row>
    <row r="406" spans="1:2" x14ac:dyDescent="0.35">
      <c r="A406" s="5" t="s">
        <v>4572</v>
      </c>
      <c r="B406" s="3" t="s">
        <v>4573</v>
      </c>
    </row>
    <row r="407" spans="1:2" x14ac:dyDescent="0.35">
      <c r="A407" s="5" t="s">
        <v>4574</v>
      </c>
      <c r="B407" s="3" t="s">
        <v>4575</v>
      </c>
    </row>
    <row r="408" spans="1:2" x14ac:dyDescent="0.35">
      <c r="A408" s="5" t="s">
        <v>4576</v>
      </c>
      <c r="B408" s="3" t="s">
        <v>4577</v>
      </c>
    </row>
    <row r="409" spans="1:2" x14ac:dyDescent="0.35">
      <c r="A409" s="5" t="s">
        <v>4578</v>
      </c>
      <c r="B409" s="3" t="s">
        <v>4579</v>
      </c>
    </row>
    <row r="410" spans="1:2" x14ac:dyDescent="0.35">
      <c r="A410" s="5" t="s">
        <v>4580</v>
      </c>
      <c r="B410" s="3" t="s">
        <v>4581</v>
      </c>
    </row>
    <row r="411" spans="1:2" x14ac:dyDescent="0.35">
      <c r="A411" s="5" t="s">
        <v>4582</v>
      </c>
      <c r="B411" s="3" t="s">
        <v>4583</v>
      </c>
    </row>
    <row r="412" spans="1:2" x14ac:dyDescent="0.35">
      <c r="A412" s="5" t="s">
        <v>4584</v>
      </c>
      <c r="B412" s="3" t="s">
        <v>4585</v>
      </c>
    </row>
    <row r="413" spans="1:2" x14ac:dyDescent="0.35">
      <c r="A413" s="5" t="s">
        <v>4586</v>
      </c>
      <c r="B413" s="3" t="s">
        <v>4587</v>
      </c>
    </row>
    <row r="414" spans="1:2" x14ac:dyDescent="0.35">
      <c r="A414" s="5" t="s">
        <v>4588</v>
      </c>
      <c r="B414" s="3" t="s">
        <v>4589</v>
      </c>
    </row>
    <row r="415" spans="1:2" x14ac:dyDescent="0.35">
      <c r="A415" s="5" t="s">
        <v>4590</v>
      </c>
      <c r="B415" s="3" t="s">
        <v>4591</v>
      </c>
    </row>
    <row r="416" spans="1:2" x14ac:dyDescent="0.35">
      <c r="A416" s="5" t="s">
        <v>4592</v>
      </c>
      <c r="B416" s="3" t="s">
        <v>4593</v>
      </c>
    </row>
    <row r="417" spans="1:2" x14ac:dyDescent="0.35">
      <c r="A417" s="5" t="s">
        <v>4594</v>
      </c>
      <c r="B417" s="3" t="s">
        <v>4595</v>
      </c>
    </row>
    <row r="418" spans="1:2" x14ac:dyDescent="0.35">
      <c r="A418" s="5" t="s">
        <v>4596</v>
      </c>
      <c r="B418" s="3" t="s">
        <v>4597</v>
      </c>
    </row>
    <row r="419" spans="1:2" x14ac:dyDescent="0.35">
      <c r="A419" s="5" t="s">
        <v>4598</v>
      </c>
      <c r="B419" s="3" t="s">
        <v>4599</v>
      </c>
    </row>
    <row r="420" spans="1:2" x14ac:dyDescent="0.35">
      <c r="A420" s="5" t="s">
        <v>4600</v>
      </c>
      <c r="B420" s="3" t="s">
        <v>4601</v>
      </c>
    </row>
    <row r="421" spans="1:2" x14ac:dyDescent="0.35">
      <c r="A421" s="5" t="s">
        <v>4602</v>
      </c>
      <c r="B421" s="3" t="s">
        <v>4603</v>
      </c>
    </row>
    <row r="422" spans="1:2" x14ac:dyDescent="0.35">
      <c r="A422" s="5" t="s">
        <v>4604</v>
      </c>
      <c r="B422" s="3" t="s">
        <v>4605</v>
      </c>
    </row>
    <row r="423" spans="1:2" x14ac:dyDescent="0.35">
      <c r="A423" s="5" t="s">
        <v>4606</v>
      </c>
      <c r="B423" s="3" t="s">
        <v>4607</v>
      </c>
    </row>
    <row r="424" spans="1:2" x14ac:dyDescent="0.35">
      <c r="A424" s="5" t="s">
        <v>4608</v>
      </c>
      <c r="B424" s="3" t="s">
        <v>4609</v>
      </c>
    </row>
    <row r="425" spans="1:2" x14ac:dyDescent="0.35">
      <c r="A425" s="5" t="s">
        <v>4610</v>
      </c>
      <c r="B425" s="3" t="s">
        <v>4611</v>
      </c>
    </row>
    <row r="426" spans="1:2" x14ac:dyDescent="0.35">
      <c r="A426" s="5" t="s">
        <v>4612</v>
      </c>
      <c r="B426" s="3" t="s">
        <v>4613</v>
      </c>
    </row>
    <row r="427" spans="1:2" x14ac:dyDescent="0.35">
      <c r="A427" s="5" t="s">
        <v>4614</v>
      </c>
      <c r="B427" s="3" t="s">
        <v>4615</v>
      </c>
    </row>
    <row r="428" spans="1:2" x14ac:dyDescent="0.35">
      <c r="A428" s="5" t="s">
        <v>4616</v>
      </c>
      <c r="B428" s="3" t="s">
        <v>4617</v>
      </c>
    </row>
    <row r="429" spans="1:2" x14ac:dyDescent="0.35">
      <c r="A429" s="5" t="s">
        <v>4618</v>
      </c>
      <c r="B429" s="3" t="s">
        <v>4619</v>
      </c>
    </row>
    <row r="430" spans="1:2" x14ac:dyDescent="0.35">
      <c r="A430" s="5" t="s">
        <v>4620</v>
      </c>
      <c r="B430" s="3" t="s">
        <v>4621</v>
      </c>
    </row>
    <row r="431" spans="1:2" x14ac:dyDescent="0.35">
      <c r="A431" s="5" t="s">
        <v>4622</v>
      </c>
      <c r="B431" s="3" t="s">
        <v>4623</v>
      </c>
    </row>
    <row r="432" spans="1:2" x14ac:dyDescent="0.35">
      <c r="A432" s="5" t="s">
        <v>4624</v>
      </c>
      <c r="B432" s="3" t="s">
        <v>4625</v>
      </c>
    </row>
    <row r="433" spans="1:2" x14ac:dyDescent="0.35">
      <c r="A433" s="5" t="s">
        <v>4626</v>
      </c>
      <c r="B433" s="3" t="s">
        <v>4627</v>
      </c>
    </row>
    <row r="434" spans="1:2" x14ac:dyDescent="0.35">
      <c r="A434" s="5" t="s">
        <v>4628</v>
      </c>
      <c r="B434" s="3" t="s">
        <v>4629</v>
      </c>
    </row>
    <row r="435" spans="1:2" x14ac:dyDescent="0.35">
      <c r="A435" s="5" t="s">
        <v>4630</v>
      </c>
      <c r="B435" s="3" t="s">
        <v>4631</v>
      </c>
    </row>
    <row r="436" spans="1:2" x14ac:dyDescent="0.35">
      <c r="A436" s="5" t="s">
        <v>4632</v>
      </c>
      <c r="B436" s="3" t="s">
        <v>4633</v>
      </c>
    </row>
    <row r="437" spans="1:2" x14ac:dyDescent="0.35">
      <c r="A437" s="5" t="s">
        <v>4634</v>
      </c>
      <c r="B437" s="3" t="s">
        <v>4635</v>
      </c>
    </row>
    <row r="438" spans="1:2" x14ac:dyDescent="0.35">
      <c r="A438" s="5" t="s">
        <v>4636</v>
      </c>
      <c r="B438" s="3" t="s">
        <v>4637</v>
      </c>
    </row>
    <row r="439" spans="1:2" x14ac:dyDescent="0.35">
      <c r="A439" s="5" t="s">
        <v>4638</v>
      </c>
      <c r="B439" s="3" t="s">
        <v>4639</v>
      </c>
    </row>
    <row r="440" spans="1:2" x14ac:dyDescent="0.35">
      <c r="A440" s="5" t="s">
        <v>4640</v>
      </c>
      <c r="B440" s="3" t="s">
        <v>4641</v>
      </c>
    </row>
    <row r="441" spans="1:2" x14ac:dyDescent="0.35">
      <c r="A441" s="5" t="s">
        <v>4642</v>
      </c>
      <c r="B441" s="3" t="s">
        <v>4643</v>
      </c>
    </row>
    <row r="442" spans="1:2" x14ac:dyDescent="0.35">
      <c r="A442" s="5" t="s">
        <v>4644</v>
      </c>
      <c r="B442" s="3" t="s">
        <v>4645</v>
      </c>
    </row>
    <row r="443" spans="1:2" x14ac:dyDescent="0.35">
      <c r="A443" s="5" t="s">
        <v>4646</v>
      </c>
      <c r="B443" s="3" t="s">
        <v>4647</v>
      </c>
    </row>
    <row r="444" spans="1:2" x14ac:dyDescent="0.35">
      <c r="A444" s="5" t="s">
        <v>4648</v>
      </c>
      <c r="B444" s="3" t="s">
        <v>4649</v>
      </c>
    </row>
    <row r="445" spans="1:2" x14ac:dyDescent="0.35">
      <c r="A445" s="5" t="s">
        <v>4650</v>
      </c>
      <c r="B445" s="3" t="s">
        <v>4651</v>
      </c>
    </row>
    <row r="446" spans="1:2" x14ac:dyDescent="0.35">
      <c r="A446" s="5" t="s">
        <v>4652</v>
      </c>
      <c r="B446" s="3" t="s">
        <v>4653</v>
      </c>
    </row>
    <row r="447" spans="1:2" x14ac:dyDescent="0.35">
      <c r="A447" s="5" t="s">
        <v>4654</v>
      </c>
      <c r="B447" s="3" t="s">
        <v>4655</v>
      </c>
    </row>
    <row r="448" spans="1:2" x14ac:dyDescent="0.35">
      <c r="A448" s="5" t="s">
        <v>4656</v>
      </c>
      <c r="B448" s="3" t="s">
        <v>4657</v>
      </c>
    </row>
    <row r="449" spans="1:2" x14ac:dyDescent="0.35">
      <c r="A449" s="5" t="s">
        <v>4658</v>
      </c>
      <c r="B449" s="3" t="s">
        <v>4659</v>
      </c>
    </row>
    <row r="450" spans="1:2" x14ac:dyDescent="0.35">
      <c r="A450" s="5" t="s">
        <v>4660</v>
      </c>
      <c r="B450" s="3" t="s">
        <v>4661</v>
      </c>
    </row>
    <row r="451" spans="1:2" x14ac:dyDescent="0.35">
      <c r="A451" s="5" t="s">
        <v>4662</v>
      </c>
      <c r="B451" s="3" t="s">
        <v>4663</v>
      </c>
    </row>
    <row r="452" spans="1:2" x14ac:dyDescent="0.35">
      <c r="A452" s="5" t="s">
        <v>4664</v>
      </c>
      <c r="B452" s="3" t="s">
        <v>4665</v>
      </c>
    </row>
    <row r="453" spans="1:2" x14ac:dyDescent="0.35">
      <c r="A453" s="5" t="s">
        <v>4666</v>
      </c>
      <c r="B453" s="3" t="s">
        <v>4667</v>
      </c>
    </row>
    <row r="454" spans="1:2" x14ac:dyDescent="0.35">
      <c r="A454" s="5" t="s">
        <v>4668</v>
      </c>
      <c r="B454" s="3" t="s">
        <v>4669</v>
      </c>
    </row>
    <row r="455" spans="1:2" x14ac:dyDescent="0.35">
      <c r="A455" s="5" t="s">
        <v>4670</v>
      </c>
      <c r="B455" s="3" t="s">
        <v>4671</v>
      </c>
    </row>
    <row r="456" spans="1:2" x14ac:dyDescent="0.35">
      <c r="A456" s="5" t="s">
        <v>4672</v>
      </c>
      <c r="B456" s="3" t="s">
        <v>4673</v>
      </c>
    </row>
    <row r="457" spans="1:2" x14ac:dyDescent="0.35">
      <c r="A457" s="5" t="s">
        <v>4674</v>
      </c>
      <c r="B457" s="3" t="s">
        <v>4675</v>
      </c>
    </row>
    <row r="458" spans="1:2" x14ac:dyDescent="0.35">
      <c r="A458" s="5" t="s">
        <v>4676</v>
      </c>
      <c r="B458" s="3" t="s">
        <v>4677</v>
      </c>
    </row>
    <row r="459" spans="1:2" x14ac:dyDescent="0.35">
      <c r="A459" s="5" t="s">
        <v>4678</v>
      </c>
      <c r="B459" s="3" t="s">
        <v>4679</v>
      </c>
    </row>
    <row r="460" spans="1:2" x14ac:dyDescent="0.35">
      <c r="A460" s="5" t="s">
        <v>4680</v>
      </c>
      <c r="B460" s="3" t="s">
        <v>4681</v>
      </c>
    </row>
    <row r="461" spans="1:2" x14ac:dyDescent="0.35">
      <c r="A461" s="5" t="s">
        <v>4682</v>
      </c>
      <c r="B461" s="3" t="s">
        <v>4683</v>
      </c>
    </row>
    <row r="462" spans="1:2" x14ac:dyDescent="0.35">
      <c r="A462" s="5" t="s">
        <v>4684</v>
      </c>
      <c r="B462" s="3" t="s">
        <v>4685</v>
      </c>
    </row>
    <row r="463" spans="1:2" x14ac:dyDescent="0.35">
      <c r="A463" s="5" t="s">
        <v>4686</v>
      </c>
      <c r="B463" s="3" t="s">
        <v>4687</v>
      </c>
    </row>
    <row r="464" spans="1:2" x14ac:dyDescent="0.35">
      <c r="A464" s="5" t="s">
        <v>4688</v>
      </c>
      <c r="B464" s="3" t="s">
        <v>4689</v>
      </c>
    </row>
    <row r="465" spans="1:2" x14ac:dyDescent="0.35">
      <c r="A465" s="5" t="s">
        <v>4690</v>
      </c>
      <c r="B465" s="3" t="s">
        <v>4691</v>
      </c>
    </row>
    <row r="466" spans="1:2" x14ac:dyDescent="0.35">
      <c r="A466" s="5" t="s">
        <v>4692</v>
      </c>
      <c r="B466" s="3" t="s">
        <v>4693</v>
      </c>
    </row>
    <row r="467" spans="1:2" x14ac:dyDescent="0.35">
      <c r="A467" s="5" t="s">
        <v>4694</v>
      </c>
      <c r="B467" s="3" t="s">
        <v>4695</v>
      </c>
    </row>
    <row r="468" spans="1:2" x14ac:dyDescent="0.35">
      <c r="A468" s="5" t="s">
        <v>4696</v>
      </c>
      <c r="B468" s="3" t="s">
        <v>4697</v>
      </c>
    </row>
    <row r="469" spans="1:2" x14ac:dyDescent="0.35">
      <c r="A469" s="5" t="s">
        <v>4698</v>
      </c>
      <c r="B469" s="3" t="s">
        <v>4699</v>
      </c>
    </row>
    <row r="470" spans="1:2" x14ac:dyDescent="0.35">
      <c r="A470" s="5" t="s">
        <v>4700</v>
      </c>
      <c r="B470" s="3" t="s">
        <v>4701</v>
      </c>
    </row>
    <row r="471" spans="1:2" x14ac:dyDescent="0.35">
      <c r="A471" s="5" t="s">
        <v>4702</v>
      </c>
      <c r="B471" s="3" t="s">
        <v>4703</v>
      </c>
    </row>
    <row r="472" spans="1:2" x14ac:dyDescent="0.35">
      <c r="A472" s="5" t="s">
        <v>4704</v>
      </c>
      <c r="B472" s="3" t="s">
        <v>4705</v>
      </c>
    </row>
    <row r="473" spans="1:2" x14ac:dyDescent="0.35">
      <c r="A473" s="5" t="s">
        <v>4706</v>
      </c>
      <c r="B473" s="3" t="s">
        <v>4707</v>
      </c>
    </row>
    <row r="474" spans="1:2" x14ac:dyDescent="0.35">
      <c r="A474" s="5" t="s">
        <v>4708</v>
      </c>
      <c r="B474" s="3" t="s">
        <v>4709</v>
      </c>
    </row>
    <row r="475" spans="1:2" x14ac:dyDescent="0.35">
      <c r="A475" s="5" t="s">
        <v>4710</v>
      </c>
      <c r="B475" s="3" t="s">
        <v>4711</v>
      </c>
    </row>
    <row r="476" spans="1:2" x14ac:dyDescent="0.35">
      <c r="A476" s="5" t="s">
        <v>4712</v>
      </c>
      <c r="B476" s="3" t="s">
        <v>4713</v>
      </c>
    </row>
    <row r="477" spans="1:2" x14ac:dyDescent="0.35">
      <c r="A477" s="5" t="s">
        <v>4714</v>
      </c>
      <c r="B477" s="3" t="s">
        <v>4715</v>
      </c>
    </row>
    <row r="478" spans="1:2" x14ac:dyDescent="0.35">
      <c r="A478" s="5" t="s">
        <v>4716</v>
      </c>
      <c r="B478" s="3" t="s">
        <v>4717</v>
      </c>
    </row>
    <row r="479" spans="1:2" x14ac:dyDescent="0.35">
      <c r="A479" s="5" t="s">
        <v>4718</v>
      </c>
      <c r="B479" s="3" t="s">
        <v>4719</v>
      </c>
    </row>
    <row r="480" spans="1:2" x14ac:dyDescent="0.35">
      <c r="A480" s="5" t="s">
        <v>4720</v>
      </c>
      <c r="B480" s="3" t="s">
        <v>4721</v>
      </c>
    </row>
    <row r="481" spans="1:2" x14ac:dyDescent="0.35">
      <c r="A481" s="5" t="s">
        <v>4722</v>
      </c>
      <c r="B481" s="3" t="s">
        <v>4723</v>
      </c>
    </row>
    <row r="482" spans="1:2" x14ac:dyDescent="0.35">
      <c r="A482" s="5" t="s">
        <v>4724</v>
      </c>
      <c r="B482" s="3" t="s">
        <v>4725</v>
      </c>
    </row>
    <row r="483" spans="1:2" x14ac:dyDescent="0.35">
      <c r="A483" s="5" t="s">
        <v>4726</v>
      </c>
      <c r="B483" s="3" t="s">
        <v>4727</v>
      </c>
    </row>
    <row r="484" spans="1:2" x14ac:dyDescent="0.35">
      <c r="A484" s="5" t="s">
        <v>4728</v>
      </c>
      <c r="B484" s="3" t="s">
        <v>4729</v>
      </c>
    </row>
    <row r="485" spans="1:2" x14ac:dyDescent="0.35">
      <c r="A485" s="5" t="s">
        <v>4730</v>
      </c>
      <c r="B485" s="3" t="s">
        <v>4731</v>
      </c>
    </row>
    <row r="486" spans="1:2" x14ac:dyDescent="0.35">
      <c r="A486" s="5" t="s">
        <v>4732</v>
      </c>
      <c r="B486" s="3" t="s">
        <v>4733</v>
      </c>
    </row>
    <row r="487" spans="1:2" x14ac:dyDescent="0.35">
      <c r="A487" s="5" t="s">
        <v>4734</v>
      </c>
      <c r="B487" s="3" t="s">
        <v>4735</v>
      </c>
    </row>
    <row r="488" spans="1:2" x14ac:dyDescent="0.35">
      <c r="A488" s="5" t="s">
        <v>4736</v>
      </c>
      <c r="B488" s="3" t="s">
        <v>4737</v>
      </c>
    </row>
    <row r="489" spans="1:2" x14ac:dyDescent="0.35">
      <c r="A489" s="5" t="s">
        <v>4738</v>
      </c>
      <c r="B489" s="3" t="s">
        <v>4739</v>
      </c>
    </row>
    <row r="490" spans="1:2" x14ac:dyDescent="0.35">
      <c r="A490" s="5" t="s">
        <v>4740</v>
      </c>
      <c r="B490" s="3" t="s">
        <v>4741</v>
      </c>
    </row>
    <row r="491" spans="1:2" x14ac:dyDescent="0.35">
      <c r="A491" s="5" t="s">
        <v>4742</v>
      </c>
      <c r="B491" s="3" t="s">
        <v>4743</v>
      </c>
    </row>
    <row r="492" spans="1:2" x14ac:dyDescent="0.35">
      <c r="A492" s="5" t="s">
        <v>4744</v>
      </c>
      <c r="B492" s="3" t="s">
        <v>4745</v>
      </c>
    </row>
    <row r="493" spans="1:2" x14ac:dyDescent="0.35">
      <c r="A493" s="5" t="s">
        <v>4746</v>
      </c>
      <c r="B493" s="3" t="s">
        <v>4747</v>
      </c>
    </row>
    <row r="494" spans="1:2" x14ac:dyDescent="0.35">
      <c r="A494" s="5" t="s">
        <v>4748</v>
      </c>
      <c r="B494" s="3" t="s">
        <v>4749</v>
      </c>
    </row>
    <row r="495" spans="1:2" x14ac:dyDescent="0.35">
      <c r="A495" s="5" t="s">
        <v>4750</v>
      </c>
      <c r="B495" s="3" t="s">
        <v>4751</v>
      </c>
    </row>
    <row r="496" spans="1:2" x14ac:dyDescent="0.35">
      <c r="A496" s="5" t="s">
        <v>4752</v>
      </c>
      <c r="B496" s="3" t="s">
        <v>4753</v>
      </c>
    </row>
    <row r="497" spans="1:2" x14ac:dyDescent="0.35">
      <c r="A497" s="5" t="s">
        <v>4754</v>
      </c>
      <c r="B497" s="3" t="s">
        <v>4755</v>
      </c>
    </row>
    <row r="498" spans="1:2" x14ac:dyDescent="0.35">
      <c r="A498" s="5" t="s">
        <v>4756</v>
      </c>
      <c r="B498" s="3" t="s">
        <v>4757</v>
      </c>
    </row>
    <row r="499" spans="1:2" x14ac:dyDescent="0.35">
      <c r="A499" s="5" t="s">
        <v>4758</v>
      </c>
      <c r="B499" s="3" t="s">
        <v>4759</v>
      </c>
    </row>
    <row r="500" spans="1:2" x14ac:dyDescent="0.35">
      <c r="A500" s="5" t="s">
        <v>4760</v>
      </c>
      <c r="B500" s="3" t="s">
        <v>4761</v>
      </c>
    </row>
    <row r="501" spans="1:2" x14ac:dyDescent="0.35">
      <c r="A501" s="5" t="s">
        <v>4762</v>
      </c>
      <c r="B501" s="3" t="s">
        <v>4763</v>
      </c>
    </row>
    <row r="502" spans="1:2" x14ac:dyDescent="0.35">
      <c r="A502" s="5" t="s">
        <v>4764</v>
      </c>
      <c r="B502" s="3" t="s">
        <v>4765</v>
      </c>
    </row>
    <row r="503" spans="1:2" x14ac:dyDescent="0.35">
      <c r="A503" s="5" t="s">
        <v>4766</v>
      </c>
      <c r="B503" s="3" t="s">
        <v>4767</v>
      </c>
    </row>
    <row r="504" spans="1:2" x14ac:dyDescent="0.35">
      <c r="A504" s="5" t="s">
        <v>4768</v>
      </c>
      <c r="B504" s="3" t="s">
        <v>4769</v>
      </c>
    </row>
    <row r="505" spans="1:2" x14ac:dyDescent="0.35">
      <c r="A505" s="5" t="s">
        <v>4770</v>
      </c>
      <c r="B505" s="3" t="s">
        <v>4771</v>
      </c>
    </row>
    <row r="506" spans="1:2" x14ac:dyDescent="0.35">
      <c r="A506" s="5" t="s">
        <v>4772</v>
      </c>
      <c r="B506" s="3" t="s">
        <v>4773</v>
      </c>
    </row>
    <row r="507" spans="1:2" x14ac:dyDescent="0.35">
      <c r="A507" s="5" t="s">
        <v>4774</v>
      </c>
      <c r="B507" s="3" t="s">
        <v>4775</v>
      </c>
    </row>
    <row r="508" spans="1:2" x14ac:dyDescent="0.35">
      <c r="A508" s="5" t="s">
        <v>4776</v>
      </c>
      <c r="B508" s="3" t="s">
        <v>4777</v>
      </c>
    </row>
    <row r="509" spans="1:2" x14ac:dyDescent="0.35">
      <c r="A509" s="5" t="s">
        <v>4778</v>
      </c>
      <c r="B509" s="3" t="s">
        <v>4779</v>
      </c>
    </row>
    <row r="510" spans="1:2" x14ac:dyDescent="0.35">
      <c r="A510" s="5" t="s">
        <v>4780</v>
      </c>
      <c r="B510" s="3" t="s">
        <v>4781</v>
      </c>
    </row>
    <row r="511" spans="1:2" x14ac:dyDescent="0.35">
      <c r="A511" s="5" t="s">
        <v>4782</v>
      </c>
      <c r="B511" s="3" t="s">
        <v>4783</v>
      </c>
    </row>
    <row r="512" spans="1:2" x14ac:dyDescent="0.35">
      <c r="A512" s="5" t="s">
        <v>4784</v>
      </c>
      <c r="B512" s="3" t="s">
        <v>4785</v>
      </c>
    </row>
    <row r="513" spans="1:2" x14ac:dyDescent="0.35">
      <c r="A513" s="5" t="s">
        <v>4786</v>
      </c>
      <c r="B513" s="3" t="s">
        <v>4787</v>
      </c>
    </row>
    <row r="514" spans="1:2" x14ac:dyDescent="0.35">
      <c r="A514" s="5" t="s">
        <v>4788</v>
      </c>
      <c r="B514" s="3" t="s">
        <v>4789</v>
      </c>
    </row>
    <row r="515" spans="1:2" x14ac:dyDescent="0.35">
      <c r="A515" s="5" t="s">
        <v>4790</v>
      </c>
      <c r="B515" s="3" t="s">
        <v>4791</v>
      </c>
    </row>
    <row r="516" spans="1:2" x14ac:dyDescent="0.35">
      <c r="A516" s="5" t="s">
        <v>4792</v>
      </c>
      <c r="B516" s="3" t="s">
        <v>4793</v>
      </c>
    </row>
    <row r="517" spans="1:2" x14ac:dyDescent="0.35">
      <c r="A517" s="5" t="s">
        <v>4794</v>
      </c>
      <c r="B517" s="3" t="s">
        <v>4795</v>
      </c>
    </row>
    <row r="518" spans="1:2" x14ac:dyDescent="0.35">
      <c r="A518" s="5" t="s">
        <v>4796</v>
      </c>
      <c r="B518" s="3" t="s">
        <v>4797</v>
      </c>
    </row>
    <row r="519" spans="1:2" x14ac:dyDescent="0.35">
      <c r="A519" s="5" t="s">
        <v>4798</v>
      </c>
      <c r="B519" s="3" t="s">
        <v>4799</v>
      </c>
    </row>
    <row r="520" spans="1:2" x14ac:dyDescent="0.35">
      <c r="A520" s="5" t="s">
        <v>4800</v>
      </c>
      <c r="B520" s="3" t="s">
        <v>4801</v>
      </c>
    </row>
    <row r="521" spans="1:2" x14ac:dyDescent="0.35">
      <c r="A521" s="5" t="s">
        <v>4802</v>
      </c>
      <c r="B521" s="3" t="s">
        <v>4803</v>
      </c>
    </row>
    <row r="522" spans="1:2" x14ac:dyDescent="0.35">
      <c r="A522" s="5" t="s">
        <v>4804</v>
      </c>
      <c r="B522" s="3" t="s">
        <v>4805</v>
      </c>
    </row>
    <row r="523" spans="1:2" x14ac:dyDescent="0.35">
      <c r="A523" s="5" t="s">
        <v>4806</v>
      </c>
      <c r="B523" s="3" t="s">
        <v>4807</v>
      </c>
    </row>
    <row r="524" spans="1:2" x14ac:dyDescent="0.35">
      <c r="A524" s="5" t="s">
        <v>4808</v>
      </c>
      <c r="B524" s="3" t="s">
        <v>4809</v>
      </c>
    </row>
    <row r="525" spans="1:2" x14ac:dyDescent="0.35">
      <c r="A525" s="5" t="s">
        <v>4810</v>
      </c>
      <c r="B525" s="3" t="s">
        <v>4811</v>
      </c>
    </row>
    <row r="526" spans="1:2" x14ac:dyDescent="0.35">
      <c r="A526" s="5" t="s">
        <v>4812</v>
      </c>
      <c r="B526" s="3" t="s">
        <v>4813</v>
      </c>
    </row>
    <row r="527" spans="1:2" x14ac:dyDescent="0.35">
      <c r="A527" s="5" t="s">
        <v>4814</v>
      </c>
      <c r="B527" s="3" t="s">
        <v>4815</v>
      </c>
    </row>
    <row r="528" spans="1:2" x14ac:dyDescent="0.35">
      <c r="A528" s="5" t="s">
        <v>4816</v>
      </c>
      <c r="B528" s="3" t="s">
        <v>4817</v>
      </c>
    </row>
    <row r="529" spans="1:2" x14ac:dyDescent="0.35">
      <c r="A529" s="5" t="s">
        <v>4818</v>
      </c>
      <c r="B529" s="3" t="s">
        <v>4819</v>
      </c>
    </row>
    <row r="530" spans="1:2" x14ac:dyDescent="0.35">
      <c r="A530" s="5" t="s">
        <v>4820</v>
      </c>
      <c r="B530" s="3" t="s">
        <v>4821</v>
      </c>
    </row>
    <row r="531" spans="1:2" x14ac:dyDescent="0.35">
      <c r="A531" s="5" t="s">
        <v>4822</v>
      </c>
      <c r="B531" s="3" t="s">
        <v>4823</v>
      </c>
    </row>
    <row r="532" spans="1:2" x14ac:dyDescent="0.35">
      <c r="A532" s="5" t="s">
        <v>4824</v>
      </c>
      <c r="B532" s="3" t="s">
        <v>4825</v>
      </c>
    </row>
    <row r="533" spans="1:2" x14ac:dyDescent="0.35">
      <c r="A533" s="5" t="s">
        <v>4826</v>
      </c>
      <c r="B533" s="3" t="s">
        <v>4827</v>
      </c>
    </row>
    <row r="534" spans="1:2" x14ac:dyDescent="0.35">
      <c r="A534" s="5" t="s">
        <v>4828</v>
      </c>
      <c r="B534" s="3" t="s">
        <v>4829</v>
      </c>
    </row>
    <row r="535" spans="1:2" x14ac:dyDescent="0.35">
      <c r="A535" s="5" t="s">
        <v>4830</v>
      </c>
      <c r="B535" s="3" t="s">
        <v>4831</v>
      </c>
    </row>
    <row r="536" spans="1:2" x14ac:dyDescent="0.35">
      <c r="A536" s="5" t="s">
        <v>4832</v>
      </c>
      <c r="B536" s="3" t="s">
        <v>4833</v>
      </c>
    </row>
    <row r="537" spans="1:2" x14ac:dyDescent="0.35">
      <c r="A537" s="5" t="s">
        <v>4834</v>
      </c>
      <c r="B537" s="3" t="s">
        <v>4835</v>
      </c>
    </row>
    <row r="538" spans="1:2" x14ac:dyDescent="0.35">
      <c r="A538" s="5" t="s">
        <v>4836</v>
      </c>
      <c r="B538" s="3" t="s">
        <v>4837</v>
      </c>
    </row>
    <row r="539" spans="1:2" x14ac:dyDescent="0.35">
      <c r="A539" s="5" t="s">
        <v>4838</v>
      </c>
      <c r="B539" s="3" t="s">
        <v>4839</v>
      </c>
    </row>
    <row r="540" spans="1:2" x14ac:dyDescent="0.35">
      <c r="A540" s="5" t="s">
        <v>4840</v>
      </c>
      <c r="B540" s="3" t="s">
        <v>4841</v>
      </c>
    </row>
    <row r="541" spans="1:2" x14ac:dyDescent="0.35">
      <c r="A541" s="5" t="s">
        <v>4842</v>
      </c>
      <c r="B541" s="3" t="s">
        <v>4843</v>
      </c>
    </row>
    <row r="542" spans="1:2" x14ac:dyDescent="0.35">
      <c r="A542" s="5" t="s">
        <v>4844</v>
      </c>
      <c r="B542" s="3" t="s">
        <v>4845</v>
      </c>
    </row>
    <row r="543" spans="1:2" x14ac:dyDescent="0.35">
      <c r="A543" s="5" t="s">
        <v>4846</v>
      </c>
      <c r="B543" s="3" t="s">
        <v>4847</v>
      </c>
    </row>
    <row r="544" spans="1:2" x14ac:dyDescent="0.35">
      <c r="A544" s="5" t="s">
        <v>4848</v>
      </c>
      <c r="B544" s="3" t="s">
        <v>4849</v>
      </c>
    </row>
    <row r="545" spans="1:2" x14ac:dyDescent="0.35">
      <c r="A545" s="5" t="s">
        <v>4850</v>
      </c>
      <c r="B545" s="3" t="s">
        <v>4851</v>
      </c>
    </row>
    <row r="546" spans="1:2" x14ac:dyDescent="0.35">
      <c r="A546" s="5" t="s">
        <v>4852</v>
      </c>
      <c r="B546" s="3" t="s">
        <v>4853</v>
      </c>
    </row>
    <row r="547" spans="1:2" x14ac:dyDescent="0.35">
      <c r="A547" s="5" t="s">
        <v>4854</v>
      </c>
      <c r="B547" s="3" t="s">
        <v>4855</v>
      </c>
    </row>
    <row r="548" spans="1:2" x14ac:dyDescent="0.35">
      <c r="A548" s="5" t="s">
        <v>4856</v>
      </c>
      <c r="B548" s="3" t="s">
        <v>4857</v>
      </c>
    </row>
    <row r="549" spans="1:2" x14ac:dyDescent="0.35">
      <c r="A549" s="5" t="s">
        <v>4858</v>
      </c>
      <c r="B549" s="3" t="s">
        <v>4859</v>
      </c>
    </row>
    <row r="550" spans="1:2" x14ac:dyDescent="0.35">
      <c r="A550" s="5" t="s">
        <v>4860</v>
      </c>
      <c r="B550" s="3" t="s">
        <v>4861</v>
      </c>
    </row>
    <row r="551" spans="1:2" x14ac:dyDescent="0.35">
      <c r="A551" s="5" t="s">
        <v>4862</v>
      </c>
      <c r="B551" s="3" t="s">
        <v>4863</v>
      </c>
    </row>
    <row r="552" spans="1:2" x14ac:dyDescent="0.35">
      <c r="A552" s="5" t="s">
        <v>4864</v>
      </c>
      <c r="B552" s="3" t="s">
        <v>4865</v>
      </c>
    </row>
    <row r="553" spans="1:2" x14ac:dyDescent="0.35">
      <c r="A553" s="5" t="s">
        <v>4866</v>
      </c>
      <c r="B553" s="3" t="s">
        <v>4867</v>
      </c>
    </row>
    <row r="554" spans="1:2" x14ac:dyDescent="0.35">
      <c r="A554" s="5" t="s">
        <v>4868</v>
      </c>
      <c r="B554" s="3" t="s">
        <v>4869</v>
      </c>
    </row>
    <row r="555" spans="1:2" x14ac:dyDescent="0.35">
      <c r="A555" s="5" t="s">
        <v>4870</v>
      </c>
      <c r="B555" s="3" t="s">
        <v>4871</v>
      </c>
    </row>
    <row r="556" spans="1:2" x14ac:dyDescent="0.35">
      <c r="A556" s="5" t="s">
        <v>4872</v>
      </c>
      <c r="B556" s="3" t="s">
        <v>4873</v>
      </c>
    </row>
    <row r="557" spans="1:2" x14ac:dyDescent="0.35">
      <c r="A557" s="5" t="s">
        <v>4874</v>
      </c>
      <c r="B557" s="3" t="s">
        <v>4875</v>
      </c>
    </row>
    <row r="558" spans="1:2" x14ac:dyDescent="0.35">
      <c r="A558" s="5" t="s">
        <v>4876</v>
      </c>
      <c r="B558" s="3" t="s">
        <v>4877</v>
      </c>
    </row>
    <row r="559" spans="1:2" x14ac:dyDescent="0.35">
      <c r="A559" s="5" t="s">
        <v>4878</v>
      </c>
      <c r="B559" s="3" t="s">
        <v>4879</v>
      </c>
    </row>
    <row r="560" spans="1:2" x14ac:dyDescent="0.35">
      <c r="A560" s="5" t="s">
        <v>4880</v>
      </c>
      <c r="B560" s="3" t="s">
        <v>4881</v>
      </c>
    </row>
    <row r="561" spans="1:2" x14ac:dyDescent="0.35">
      <c r="A561" s="5" t="s">
        <v>4882</v>
      </c>
      <c r="B561" s="3" t="s">
        <v>4883</v>
      </c>
    </row>
    <row r="562" spans="1:2" x14ac:dyDescent="0.35">
      <c r="A562" s="5" t="s">
        <v>4884</v>
      </c>
      <c r="B562" s="3" t="s">
        <v>4885</v>
      </c>
    </row>
    <row r="563" spans="1:2" x14ac:dyDescent="0.35">
      <c r="A563" s="5" t="s">
        <v>4886</v>
      </c>
      <c r="B563" s="3" t="s">
        <v>4887</v>
      </c>
    </row>
    <row r="564" spans="1:2" x14ac:dyDescent="0.35">
      <c r="A564" s="5" t="s">
        <v>4888</v>
      </c>
      <c r="B564" s="3" t="s">
        <v>4889</v>
      </c>
    </row>
    <row r="565" spans="1:2" x14ac:dyDescent="0.35">
      <c r="A565" s="5" t="s">
        <v>4890</v>
      </c>
      <c r="B565" s="3" t="s">
        <v>4891</v>
      </c>
    </row>
    <row r="566" spans="1:2" x14ac:dyDescent="0.35">
      <c r="A566" s="5" t="s">
        <v>4892</v>
      </c>
      <c r="B566" s="3" t="s">
        <v>4893</v>
      </c>
    </row>
    <row r="567" spans="1:2" x14ac:dyDescent="0.35">
      <c r="A567" s="5" t="s">
        <v>4894</v>
      </c>
      <c r="B567" s="3" t="s">
        <v>4895</v>
      </c>
    </row>
    <row r="568" spans="1:2" x14ac:dyDescent="0.35">
      <c r="A568" s="5" t="s">
        <v>4896</v>
      </c>
      <c r="B568" s="3" t="s">
        <v>4897</v>
      </c>
    </row>
    <row r="569" spans="1:2" x14ac:dyDescent="0.35">
      <c r="A569" s="5" t="s">
        <v>4898</v>
      </c>
      <c r="B569" s="3" t="s">
        <v>4899</v>
      </c>
    </row>
    <row r="570" spans="1:2" x14ac:dyDescent="0.35">
      <c r="A570" s="5" t="s">
        <v>4900</v>
      </c>
      <c r="B570" s="3" t="s">
        <v>4901</v>
      </c>
    </row>
    <row r="571" spans="1:2" x14ac:dyDescent="0.35">
      <c r="A571" s="5" t="s">
        <v>4902</v>
      </c>
      <c r="B571" s="3" t="s">
        <v>4903</v>
      </c>
    </row>
    <row r="572" spans="1:2" x14ac:dyDescent="0.35">
      <c r="A572" s="5" t="s">
        <v>4904</v>
      </c>
      <c r="B572" s="3" t="s">
        <v>4905</v>
      </c>
    </row>
    <row r="573" spans="1:2" x14ac:dyDescent="0.35">
      <c r="A573" s="5" t="s">
        <v>4906</v>
      </c>
      <c r="B573" s="3" t="s">
        <v>4907</v>
      </c>
    </row>
    <row r="574" spans="1:2" x14ac:dyDescent="0.35">
      <c r="A574" s="5" t="s">
        <v>4908</v>
      </c>
      <c r="B574" s="3" t="s">
        <v>4909</v>
      </c>
    </row>
    <row r="575" spans="1:2" x14ac:dyDescent="0.35">
      <c r="A575" s="5" t="s">
        <v>4910</v>
      </c>
      <c r="B575" s="3" t="s">
        <v>4911</v>
      </c>
    </row>
    <row r="576" spans="1:2" x14ac:dyDescent="0.35">
      <c r="A576" s="5" t="s">
        <v>4912</v>
      </c>
      <c r="B576" s="3" t="s">
        <v>4913</v>
      </c>
    </row>
    <row r="577" spans="1:2" x14ac:dyDescent="0.35">
      <c r="A577" s="5" t="s">
        <v>4914</v>
      </c>
      <c r="B577" s="3" t="s">
        <v>4915</v>
      </c>
    </row>
    <row r="578" spans="1:2" x14ac:dyDescent="0.35">
      <c r="A578" s="5" t="s">
        <v>4916</v>
      </c>
      <c r="B578" s="3" t="s">
        <v>4917</v>
      </c>
    </row>
    <row r="579" spans="1:2" x14ac:dyDescent="0.35">
      <c r="A579" s="5" t="s">
        <v>4918</v>
      </c>
      <c r="B579" s="3" t="s">
        <v>4919</v>
      </c>
    </row>
    <row r="580" spans="1:2" x14ac:dyDescent="0.35">
      <c r="A580" s="5" t="s">
        <v>4920</v>
      </c>
      <c r="B580" s="3" t="s">
        <v>4921</v>
      </c>
    </row>
    <row r="581" spans="1:2" x14ac:dyDescent="0.35">
      <c r="A581" s="5" t="s">
        <v>4922</v>
      </c>
      <c r="B581" s="3" t="s">
        <v>4923</v>
      </c>
    </row>
    <row r="582" spans="1:2" x14ac:dyDescent="0.35">
      <c r="A582" s="5" t="s">
        <v>4924</v>
      </c>
      <c r="B582" s="3" t="s">
        <v>4925</v>
      </c>
    </row>
    <row r="583" spans="1:2" x14ac:dyDescent="0.35">
      <c r="A583" s="5" t="s">
        <v>4926</v>
      </c>
      <c r="B583" s="3" t="s">
        <v>4927</v>
      </c>
    </row>
    <row r="584" spans="1:2" x14ac:dyDescent="0.35">
      <c r="A584" s="5" t="s">
        <v>4928</v>
      </c>
      <c r="B584" s="3" t="s">
        <v>4929</v>
      </c>
    </row>
    <row r="585" spans="1:2" x14ac:dyDescent="0.35">
      <c r="A585" s="5" t="s">
        <v>4930</v>
      </c>
      <c r="B585" s="3" t="s">
        <v>4931</v>
      </c>
    </row>
    <row r="586" spans="1:2" x14ac:dyDescent="0.35">
      <c r="A586" s="5" t="s">
        <v>4932</v>
      </c>
      <c r="B586" s="3" t="s">
        <v>4933</v>
      </c>
    </row>
    <row r="587" spans="1:2" x14ac:dyDescent="0.35">
      <c r="A587" s="5" t="s">
        <v>4934</v>
      </c>
      <c r="B587" s="3" t="s">
        <v>4935</v>
      </c>
    </row>
    <row r="588" spans="1:2" x14ac:dyDescent="0.35">
      <c r="A588" s="5" t="s">
        <v>4936</v>
      </c>
      <c r="B588" s="3" t="s">
        <v>4937</v>
      </c>
    </row>
    <row r="589" spans="1:2" x14ac:dyDescent="0.35">
      <c r="A589" s="5" t="s">
        <v>4938</v>
      </c>
      <c r="B589" s="3" t="s">
        <v>4939</v>
      </c>
    </row>
    <row r="590" spans="1:2" x14ac:dyDescent="0.35">
      <c r="A590" s="5" t="s">
        <v>4940</v>
      </c>
      <c r="B590" s="3" t="s">
        <v>4941</v>
      </c>
    </row>
    <row r="591" spans="1:2" x14ac:dyDescent="0.35">
      <c r="A591" s="5" t="s">
        <v>4942</v>
      </c>
      <c r="B591" s="3" t="s">
        <v>4943</v>
      </c>
    </row>
    <row r="592" spans="1:2" x14ac:dyDescent="0.35">
      <c r="A592" s="5" t="s">
        <v>4944</v>
      </c>
      <c r="B592" s="3" t="s">
        <v>4945</v>
      </c>
    </row>
    <row r="593" spans="1:2" x14ac:dyDescent="0.35">
      <c r="A593" s="5" t="s">
        <v>4946</v>
      </c>
      <c r="B593" s="3" t="s">
        <v>4947</v>
      </c>
    </row>
    <row r="594" spans="1:2" x14ac:dyDescent="0.35">
      <c r="A594" s="5" t="s">
        <v>4948</v>
      </c>
      <c r="B594" s="3" t="s">
        <v>4949</v>
      </c>
    </row>
    <row r="595" spans="1:2" x14ac:dyDescent="0.35">
      <c r="A595" s="5" t="s">
        <v>4950</v>
      </c>
      <c r="B595" s="3" t="s">
        <v>4951</v>
      </c>
    </row>
    <row r="596" spans="1:2" x14ac:dyDescent="0.35">
      <c r="A596" s="5" t="s">
        <v>4952</v>
      </c>
      <c r="B596" s="3" t="s">
        <v>4953</v>
      </c>
    </row>
    <row r="597" spans="1:2" x14ac:dyDescent="0.35">
      <c r="A597" s="5" t="s">
        <v>4954</v>
      </c>
      <c r="B597" s="3" t="s">
        <v>4955</v>
      </c>
    </row>
    <row r="598" spans="1:2" x14ac:dyDescent="0.35">
      <c r="A598" s="5" t="s">
        <v>4956</v>
      </c>
      <c r="B598" s="3" t="s">
        <v>4957</v>
      </c>
    </row>
    <row r="599" spans="1:2" x14ac:dyDescent="0.35">
      <c r="A599" s="5" t="s">
        <v>4958</v>
      </c>
      <c r="B599" s="3" t="s">
        <v>4959</v>
      </c>
    </row>
    <row r="600" spans="1:2" x14ac:dyDescent="0.35">
      <c r="A600" s="5" t="s">
        <v>4960</v>
      </c>
      <c r="B600" s="3" t="s">
        <v>4961</v>
      </c>
    </row>
    <row r="601" spans="1:2" x14ac:dyDescent="0.35">
      <c r="A601" s="5" t="s">
        <v>4962</v>
      </c>
      <c r="B601" s="3" t="s">
        <v>4963</v>
      </c>
    </row>
    <row r="602" spans="1:2" x14ac:dyDescent="0.35">
      <c r="A602" s="5" t="s">
        <v>4964</v>
      </c>
      <c r="B602" s="3" t="s">
        <v>4965</v>
      </c>
    </row>
    <row r="603" spans="1:2" x14ac:dyDescent="0.35">
      <c r="A603" s="5" t="s">
        <v>4966</v>
      </c>
      <c r="B603" s="3" t="s">
        <v>4967</v>
      </c>
    </row>
    <row r="604" spans="1:2" x14ac:dyDescent="0.35">
      <c r="A604" s="5" t="s">
        <v>4968</v>
      </c>
      <c r="B604" s="3" t="s">
        <v>4969</v>
      </c>
    </row>
    <row r="605" spans="1:2" x14ac:dyDescent="0.35">
      <c r="A605" s="5" t="s">
        <v>4970</v>
      </c>
      <c r="B605" s="3" t="s">
        <v>4971</v>
      </c>
    </row>
    <row r="606" spans="1:2" x14ac:dyDescent="0.35">
      <c r="A606" s="5" t="s">
        <v>4972</v>
      </c>
      <c r="B606" s="3" t="s">
        <v>4973</v>
      </c>
    </row>
    <row r="607" spans="1:2" x14ac:dyDescent="0.35">
      <c r="A607" s="5" t="s">
        <v>4974</v>
      </c>
      <c r="B607" s="3" t="s">
        <v>4975</v>
      </c>
    </row>
    <row r="608" spans="1:2" x14ac:dyDescent="0.35">
      <c r="A608" s="5" t="s">
        <v>4976</v>
      </c>
      <c r="B608" s="3" t="s">
        <v>4977</v>
      </c>
    </row>
    <row r="609" spans="1:2" x14ac:dyDescent="0.35">
      <c r="A609" s="5" t="s">
        <v>4978</v>
      </c>
      <c r="B609" s="3" t="s">
        <v>4979</v>
      </c>
    </row>
    <row r="610" spans="1:2" x14ac:dyDescent="0.35">
      <c r="A610" s="5" t="s">
        <v>4980</v>
      </c>
      <c r="B610" s="3" t="s">
        <v>4981</v>
      </c>
    </row>
    <row r="611" spans="1:2" x14ac:dyDescent="0.35">
      <c r="A611" s="5" t="s">
        <v>4982</v>
      </c>
      <c r="B611" s="3" t="s">
        <v>4983</v>
      </c>
    </row>
    <row r="612" spans="1:2" x14ac:dyDescent="0.35">
      <c r="A612" s="5" t="s">
        <v>4984</v>
      </c>
      <c r="B612" s="3" t="s">
        <v>4985</v>
      </c>
    </row>
    <row r="613" spans="1:2" x14ac:dyDescent="0.35">
      <c r="A613" s="5" t="s">
        <v>4986</v>
      </c>
      <c r="B613" s="3" t="s">
        <v>4987</v>
      </c>
    </row>
    <row r="614" spans="1:2" x14ac:dyDescent="0.35">
      <c r="A614" s="5" t="s">
        <v>4988</v>
      </c>
      <c r="B614" s="3" t="s">
        <v>4989</v>
      </c>
    </row>
    <row r="615" spans="1:2" x14ac:dyDescent="0.35">
      <c r="A615" s="5" t="s">
        <v>4990</v>
      </c>
      <c r="B615" s="3" t="s">
        <v>4991</v>
      </c>
    </row>
    <row r="616" spans="1:2" x14ac:dyDescent="0.35">
      <c r="A616" s="5" t="s">
        <v>4992</v>
      </c>
      <c r="B616" s="3" t="s">
        <v>4993</v>
      </c>
    </row>
    <row r="617" spans="1:2" x14ac:dyDescent="0.35">
      <c r="A617" s="5" t="s">
        <v>4994</v>
      </c>
      <c r="B617" s="3" t="s">
        <v>4995</v>
      </c>
    </row>
    <row r="618" spans="1:2" x14ac:dyDescent="0.35">
      <c r="A618" s="5" t="s">
        <v>4996</v>
      </c>
      <c r="B618" s="3" t="s">
        <v>4997</v>
      </c>
    </row>
    <row r="619" spans="1:2" x14ac:dyDescent="0.35">
      <c r="A619" s="5" t="s">
        <v>4998</v>
      </c>
      <c r="B619" s="3" t="s">
        <v>4999</v>
      </c>
    </row>
    <row r="620" spans="1:2" x14ac:dyDescent="0.35">
      <c r="A620" s="5" t="s">
        <v>5000</v>
      </c>
      <c r="B620" s="3" t="s">
        <v>5001</v>
      </c>
    </row>
    <row r="621" spans="1:2" x14ac:dyDescent="0.35">
      <c r="A621" s="5" t="s">
        <v>5002</v>
      </c>
      <c r="B621" s="3" t="s">
        <v>5003</v>
      </c>
    </row>
    <row r="622" spans="1:2" x14ac:dyDescent="0.35">
      <c r="A622" s="5" t="s">
        <v>5004</v>
      </c>
      <c r="B622" s="3" t="s">
        <v>5005</v>
      </c>
    </row>
    <row r="623" spans="1:2" x14ac:dyDescent="0.35">
      <c r="A623" s="5" t="s">
        <v>5006</v>
      </c>
      <c r="B623" s="3" t="s">
        <v>5007</v>
      </c>
    </row>
    <row r="624" spans="1:2" x14ac:dyDescent="0.35">
      <c r="A624" s="5" t="s">
        <v>5008</v>
      </c>
      <c r="B624" s="3" t="s">
        <v>5009</v>
      </c>
    </row>
    <row r="625" spans="1:2" x14ac:dyDescent="0.35">
      <c r="A625" s="5" t="s">
        <v>5010</v>
      </c>
      <c r="B625" s="3" t="s">
        <v>5011</v>
      </c>
    </row>
    <row r="626" spans="1:2" x14ac:dyDescent="0.35">
      <c r="A626" s="5" t="s">
        <v>5012</v>
      </c>
      <c r="B626" s="3" t="s">
        <v>5013</v>
      </c>
    </row>
    <row r="627" spans="1:2" x14ac:dyDescent="0.35">
      <c r="A627" s="5" t="s">
        <v>5014</v>
      </c>
      <c r="B627" s="3" t="s">
        <v>5015</v>
      </c>
    </row>
    <row r="628" spans="1:2" x14ac:dyDescent="0.35">
      <c r="A628" s="5" t="s">
        <v>5016</v>
      </c>
      <c r="B628" s="3" t="s">
        <v>5017</v>
      </c>
    </row>
    <row r="629" spans="1:2" x14ac:dyDescent="0.35">
      <c r="A629" s="5" t="s">
        <v>5018</v>
      </c>
      <c r="B629" s="3" t="s">
        <v>5019</v>
      </c>
    </row>
    <row r="630" spans="1:2" x14ac:dyDescent="0.35">
      <c r="A630" s="5" t="s">
        <v>5020</v>
      </c>
      <c r="B630" s="3" t="s">
        <v>5021</v>
      </c>
    </row>
    <row r="631" spans="1:2" x14ac:dyDescent="0.35">
      <c r="A631" s="5" t="s">
        <v>5022</v>
      </c>
      <c r="B631" s="3" t="s">
        <v>5023</v>
      </c>
    </row>
    <row r="632" spans="1:2" x14ac:dyDescent="0.35">
      <c r="A632" s="5" t="s">
        <v>5024</v>
      </c>
      <c r="B632" s="3" t="s">
        <v>5025</v>
      </c>
    </row>
    <row r="633" spans="1:2" x14ac:dyDescent="0.35">
      <c r="A633" s="5" t="s">
        <v>5026</v>
      </c>
      <c r="B633" s="3" t="s">
        <v>5027</v>
      </c>
    </row>
    <row r="634" spans="1:2" x14ac:dyDescent="0.35">
      <c r="A634" s="5" t="s">
        <v>5028</v>
      </c>
      <c r="B634" s="3" t="s">
        <v>5029</v>
      </c>
    </row>
    <row r="635" spans="1:2" x14ac:dyDescent="0.35">
      <c r="A635" s="5" t="s">
        <v>5030</v>
      </c>
      <c r="B635" s="3" t="s">
        <v>5031</v>
      </c>
    </row>
    <row r="636" spans="1:2" x14ac:dyDescent="0.35">
      <c r="A636" s="5" t="s">
        <v>5032</v>
      </c>
      <c r="B636" s="3" t="s">
        <v>5033</v>
      </c>
    </row>
    <row r="637" spans="1:2" x14ac:dyDescent="0.35">
      <c r="A637" s="5" t="s">
        <v>5034</v>
      </c>
      <c r="B637" s="3" t="s">
        <v>5035</v>
      </c>
    </row>
    <row r="638" spans="1:2" x14ac:dyDescent="0.35">
      <c r="A638" s="5" t="s">
        <v>5036</v>
      </c>
      <c r="B638" s="3" t="s">
        <v>5037</v>
      </c>
    </row>
    <row r="639" spans="1:2" x14ac:dyDescent="0.35">
      <c r="A639" s="5" t="s">
        <v>5038</v>
      </c>
      <c r="B639" s="3" t="s">
        <v>5039</v>
      </c>
    </row>
    <row r="640" spans="1:2" x14ac:dyDescent="0.35">
      <c r="A640" s="5" t="s">
        <v>5040</v>
      </c>
      <c r="B640" s="3" t="s">
        <v>5041</v>
      </c>
    </row>
    <row r="641" spans="1:2" x14ac:dyDescent="0.35">
      <c r="A641" s="5" t="s">
        <v>5042</v>
      </c>
      <c r="B641" s="3" t="s">
        <v>5043</v>
      </c>
    </row>
    <row r="642" spans="1:2" x14ac:dyDescent="0.35">
      <c r="A642" s="5" t="s">
        <v>5044</v>
      </c>
      <c r="B642" s="3" t="s">
        <v>5045</v>
      </c>
    </row>
    <row r="643" spans="1:2" x14ac:dyDescent="0.35">
      <c r="A643" s="5" t="s">
        <v>5046</v>
      </c>
      <c r="B643" s="3" t="s">
        <v>5047</v>
      </c>
    </row>
    <row r="644" spans="1:2" x14ac:dyDescent="0.35">
      <c r="A644" s="5" t="s">
        <v>5048</v>
      </c>
      <c r="B644" s="3" t="s">
        <v>5049</v>
      </c>
    </row>
    <row r="645" spans="1:2" x14ac:dyDescent="0.35">
      <c r="A645" s="5" t="s">
        <v>5050</v>
      </c>
      <c r="B645" s="3" t="s">
        <v>5051</v>
      </c>
    </row>
    <row r="646" spans="1:2" x14ac:dyDescent="0.35">
      <c r="A646" s="5" t="s">
        <v>5052</v>
      </c>
      <c r="B646" s="3" t="s">
        <v>5053</v>
      </c>
    </row>
    <row r="647" spans="1:2" x14ac:dyDescent="0.35">
      <c r="A647" s="5" t="s">
        <v>5054</v>
      </c>
      <c r="B647" s="3" t="s">
        <v>5055</v>
      </c>
    </row>
    <row r="648" spans="1:2" x14ac:dyDescent="0.35">
      <c r="A648" s="5" t="s">
        <v>5056</v>
      </c>
      <c r="B648" s="3" t="s">
        <v>5057</v>
      </c>
    </row>
    <row r="649" spans="1:2" x14ac:dyDescent="0.35">
      <c r="A649" s="5" t="s">
        <v>5058</v>
      </c>
      <c r="B649" s="3" t="s">
        <v>5059</v>
      </c>
    </row>
    <row r="650" spans="1:2" x14ac:dyDescent="0.35">
      <c r="A650" s="5" t="s">
        <v>5060</v>
      </c>
      <c r="B650" s="3" t="s">
        <v>5061</v>
      </c>
    </row>
    <row r="651" spans="1:2" x14ac:dyDescent="0.35">
      <c r="A651" s="5" t="s">
        <v>5062</v>
      </c>
      <c r="B651" s="3" t="s">
        <v>5063</v>
      </c>
    </row>
    <row r="652" spans="1:2" x14ac:dyDescent="0.35">
      <c r="A652" s="5" t="s">
        <v>5064</v>
      </c>
      <c r="B652" s="3" t="s">
        <v>5065</v>
      </c>
    </row>
    <row r="653" spans="1:2" x14ac:dyDescent="0.35">
      <c r="A653" s="5" t="s">
        <v>5066</v>
      </c>
      <c r="B653" s="3" t="s">
        <v>5067</v>
      </c>
    </row>
    <row r="654" spans="1:2" x14ac:dyDescent="0.35">
      <c r="A654" s="5" t="s">
        <v>5068</v>
      </c>
      <c r="B654" s="3" t="s">
        <v>5069</v>
      </c>
    </row>
    <row r="655" spans="1:2" x14ac:dyDescent="0.35">
      <c r="A655" s="5" t="s">
        <v>5070</v>
      </c>
      <c r="B655" s="3" t="s">
        <v>5071</v>
      </c>
    </row>
    <row r="656" spans="1:2" x14ac:dyDescent="0.35">
      <c r="A656" s="5" t="s">
        <v>5072</v>
      </c>
      <c r="B656" s="3" t="s">
        <v>5073</v>
      </c>
    </row>
    <row r="657" spans="1:2" x14ac:dyDescent="0.35">
      <c r="A657" s="5" t="s">
        <v>5074</v>
      </c>
      <c r="B657" s="3" t="s">
        <v>5075</v>
      </c>
    </row>
    <row r="658" spans="1:2" x14ac:dyDescent="0.35">
      <c r="A658" s="5" t="s">
        <v>5076</v>
      </c>
      <c r="B658" s="3" t="s">
        <v>5077</v>
      </c>
    </row>
    <row r="659" spans="1:2" x14ac:dyDescent="0.35">
      <c r="A659" s="5" t="s">
        <v>5078</v>
      </c>
      <c r="B659" s="3" t="s">
        <v>5079</v>
      </c>
    </row>
    <row r="660" spans="1:2" x14ac:dyDescent="0.35">
      <c r="A660" s="5" t="s">
        <v>5080</v>
      </c>
      <c r="B660" s="3" t="s">
        <v>5081</v>
      </c>
    </row>
    <row r="661" spans="1:2" x14ac:dyDescent="0.35">
      <c r="A661" s="5" t="s">
        <v>5082</v>
      </c>
      <c r="B661" s="3" t="s">
        <v>5083</v>
      </c>
    </row>
    <row r="662" spans="1:2" x14ac:dyDescent="0.35">
      <c r="A662" s="5" t="s">
        <v>5084</v>
      </c>
      <c r="B662" s="3" t="s">
        <v>5085</v>
      </c>
    </row>
    <row r="663" spans="1:2" x14ac:dyDescent="0.35">
      <c r="A663" s="5" t="s">
        <v>5086</v>
      </c>
      <c r="B663" s="3" t="s">
        <v>5087</v>
      </c>
    </row>
    <row r="664" spans="1:2" x14ac:dyDescent="0.35">
      <c r="A664" s="5" t="s">
        <v>5088</v>
      </c>
      <c r="B664" s="3" t="s">
        <v>5089</v>
      </c>
    </row>
    <row r="665" spans="1:2" x14ac:dyDescent="0.35">
      <c r="A665" s="5" t="s">
        <v>5090</v>
      </c>
      <c r="B665" s="3" t="s">
        <v>5091</v>
      </c>
    </row>
    <row r="666" spans="1:2" x14ac:dyDescent="0.35">
      <c r="A666" s="5" t="s">
        <v>5092</v>
      </c>
      <c r="B666" s="3" t="s">
        <v>5093</v>
      </c>
    </row>
    <row r="667" spans="1:2" x14ac:dyDescent="0.35">
      <c r="A667" s="5" t="s">
        <v>5094</v>
      </c>
      <c r="B667" s="3" t="s">
        <v>5095</v>
      </c>
    </row>
    <row r="668" spans="1:2" x14ac:dyDescent="0.35">
      <c r="A668" s="5" t="s">
        <v>5096</v>
      </c>
      <c r="B668" s="3" t="s">
        <v>5097</v>
      </c>
    </row>
    <row r="669" spans="1:2" x14ac:dyDescent="0.35">
      <c r="A669" s="5" t="s">
        <v>5098</v>
      </c>
      <c r="B669" s="3" t="s">
        <v>5099</v>
      </c>
    </row>
    <row r="670" spans="1:2" x14ac:dyDescent="0.35">
      <c r="A670" s="5" t="s">
        <v>5100</v>
      </c>
      <c r="B670" s="3" t="s">
        <v>5101</v>
      </c>
    </row>
    <row r="671" spans="1:2" x14ac:dyDescent="0.35">
      <c r="A671" s="5" t="s">
        <v>5102</v>
      </c>
      <c r="B671" s="3" t="s">
        <v>5103</v>
      </c>
    </row>
    <row r="672" spans="1:2" x14ac:dyDescent="0.35">
      <c r="A672" s="5" t="s">
        <v>5104</v>
      </c>
      <c r="B672" s="3" t="s">
        <v>5105</v>
      </c>
    </row>
    <row r="673" spans="1:2" x14ac:dyDescent="0.35">
      <c r="A673" s="5" t="s">
        <v>5106</v>
      </c>
      <c r="B673" s="3" t="s">
        <v>5107</v>
      </c>
    </row>
    <row r="674" spans="1:2" x14ac:dyDescent="0.35">
      <c r="A674" s="5" t="s">
        <v>5108</v>
      </c>
      <c r="B674" s="3" t="s">
        <v>5109</v>
      </c>
    </row>
    <row r="675" spans="1:2" x14ac:dyDescent="0.35">
      <c r="A675" s="5" t="s">
        <v>5110</v>
      </c>
      <c r="B675" s="3" t="s">
        <v>5111</v>
      </c>
    </row>
    <row r="676" spans="1:2" x14ac:dyDescent="0.35">
      <c r="A676" s="5" t="s">
        <v>5112</v>
      </c>
      <c r="B676" s="3" t="s">
        <v>5113</v>
      </c>
    </row>
    <row r="677" spans="1:2" x14ac:dyDescent="0.35">
      <c r="A677" s="5" t="s">
        <v>5114</v>
      </c>
      <c r="B677" s="3" t="s">
        <v>5115</v>
      </c>
    </row>
    <row r="678" spans="1:2" x14ac:dyDescent="0.35">
      <c r="A678" s="5" t="s">
        <v>5116</v>
      </c>
      <c r="B678" s="3" t="s">
        <v>5117</v>
      </c>
    </row>
    <row r="679" spans="1:2" x14ac:dyDescent="0.35">
      <c r="A679" s="5" t="s">
        <v>5118</v>
      </c>
      <c r="B679" s="3" t="s">
        <v>5119</v>
      </c>
    </row>
    <row r="680" spans="1:2" x14ac:dyDescent="0.35">
      <c r="A680" s="5" t="s">
        <v>5120</v>
      </c>
      <c r="B680" s="3" t="s">
        <v>5121</v>
      </c>
    </row>
    <row r="681" spans="1:2" x14ac:dyDescent="0.35">
      <c r="A681" s="5" t="s">
        <v>5122</v>
      </c>
      <c r="B681" s="3" t="s">
        <v>5123</v>
      </c>
    </row>
    <row r="682" spans="1:2" x14ac:dyDescent="0.35">
      <c r="A682" s="5" t="s">
        <v>5124</v>
      </c>
      <c r="B682" s="3" t="s">
        <v>5125</v>
      </c>
    </row>
    <row r="683" spans="1:2" x14ac:dyDescent="0.35">
      <c r="A683" s="5" t="s">
        <v>5126</v>
      </c>
      <c r="B683" s="3" t="s">
        <v>5127</v>
      </c>
    </row>
    <row r="684" spans="1:2" x14ac:dyDescent="0.35">
      <c r="A684" s="5" t="s">
        <v>5128</v>
      </c>
      <c r="B684" s="3" t="s">
        <v>5129</v>
      </c>
    </row>
    <row r="685" spans="1:2" x14ac:dyDescent="0.35">
      <c r="A685" s="5" t="s">
        <v>5130</v>
      </c>
      <c r="B685" s="3" t="s">
        <v>5131</v>
      </c>
    </row>
    <row r="686" spans="1:2" x14ac:dyDescent="0.35">
      <c r="A686" s="5" t="s">
        <v>5132</v>
      </c>
      <c r="B686" s="3" t="s">
        <v>5133</v>
      </c>
    </row>
    <row r="687" spans="1:2" x14ac:dyDescent="0.35">
      <c r="A687" s="5" t="s">
        <v>5134</v>
      </c>
      <c r="B687" s="3" t="s">
        <v>5135</v>
      </c>
    </row>
    <row r="688" spans="1:2" x14ac:dyDescent="0.35">
      <c r="A688" s="5" t="s">
        <v>5136</v>
      </c>
      <c r="B688" s="3" t="s">
        <v>5137</v>
      </c>
    </row>
    <row r="689" spans="1:2" x14ac:dyDescent="0.35">
      <c r="A689" s="5" t="s">
        <v>5138</v>
      </c>
      <c r="B689" s="3" t="s">
        <v>5139</v>
      </c>
    </row>
    <row r="690" spans="1:2" x14ac:dyDescent="0.35">
      <c r="A690" s="5" t="s">
        <v>5140</v>
      </c>
      <c r="B690" s="3" t="s">
        <v>5141</v>
      </c>
    </row>
    <row r="691" spans="1:2" x14ac:dyDescent="0.35">
      <c r="A691" s="5" t="s">
        <v>5142</v>
      </c>
      <c r="B691" s="3" t="s">
        <v>5143</v>
      </c>
    </row>
    <row r="692" spans="1:2" x14ac:dyDescent="0.35">
      <c r="A692" s="5" t="s">
        <v>5144</v>
      </c>
      <c r="B692" s="3" t="s">
        <v>5145</v>
      </c>
    </row>
    <row r="693" spans="1:2" x14ac:dyDescent="0.35">
      <c r="A693" s="5" t="s">
        <v>5146</v>
      </c>
      <c r="B693" s="3" t="s">
        <v>5147</v>
      </c>
    </row>
    <row r="694" spans="1:2" x14ac:dyDescent="0.35">
      <c r="A694" s="5" t="s">
        <v>5148</v>
      </c>
      <c r="B694" s="3" t="s">
        <v>5149</v>
      </c>
    </row>
    <row r="695" spans="1:2" x14ac:dyDescent="0.35">
      <c r="A695" s="5" t="s">
        <v>5150</v>
      </c>
      <c r="B695" s="3" t="s">
        <v>5151</v>
      </c>
    </row>
    <row r="696" spans="1:2" x14ac:dyDescent="0.35">
      <c r="A696" s="5" t="s">
        <v>5152</v>
      </c>
      <c r="B696" s="3" t="s">
        <v>5153</v>
      </c>
    </row>
    <row r="697" spans="1:2" x14ac:dyDescent="0.35">
      <c r="A697" s="5" t="s">
        <v>5154</v>
      </c>
      <c r="B697" s="3" t="s">
        <v>5155</v>
      </c>
    </row>
    <row r="698" spans="1:2" x14ac:dyDescent="0.35">
      <c r="A698" s="5" t="s">
        <v>5156</v>
      </c>
      <c r="B698" s="3" t="s">
        <v>5157</v>
      </c>
    </row>
    <row r="699" spans="1:2" x14ac:dyDescent="0.35">
      <c r="A699" s="5" t="s">
        <v>5158</v>
      </c>
      <c r="B699" s="3" t="s">
        <v>5159</v>
      </c>
    </row>
    <row r="700" spans="1:2" x14ac:dyDescent="0.35">
      <c r="A700" s="5" t="s">
        <v>5160</v>
      </c>
      <c r="B700" s="3" t="s">
        <v>5161</v>
      </c>
    </row>
    <row r="701" spans="1:2" x14ac:dyDescent="0.35">
      <c r="A701" s="5" t="s">
        <v>5162</v>
      </c>
      <c r="B701" s="3" t="s">
        <v>5163</v>
      </c>
    </row>
    <row r="702" spans="1:2" x14ac:dyDescent="0.35">
      <c r="A702" s="5" t="s">
        <v>5164</v>
      </c>
      <c r="B702" s="3" t="s">
        <v>5165</v>
      </c>
    </row>
    <row r="703" spans="1:2" x14ac:dyDescent="0.35">
      <c r="A703" s="5" t="s">
        <v>5166</v>
      </c>
      <c r="B703" s="3" t="s">
        <v>5167</v>
      </c>
    </row>
    <row r="704" spans="1:2" x14ac:dyDescent="0.35">
      <c r="A704" s="5" t="s">
        <v>5168</v>
      </c>
      <c r="B704" s="3" t="s">
        <v>5169</v>
      </c>
    </row>
    <row r="705" spans="1:2" x14ac:dyDescent="0.35">
      <c r="A705" s="5" t="s">
        <v>5170</v>
      </c>
      <c r="B705" s="3" t="s">
        <v>5171</v>
      </c>
    </row>
    <row r="706" spans="1:2" x14ac:dyDescent="0.35">
      <c r="A706" s="5" t="s">
        <v>5172</v>
      </c>
      <c r="B706" s="3" t="s">
        <v>5173</v>
      </c>
    </row>
    <row r="707" spans="1:2" x14ac:dyDescent="0.35">
      <c r="A707" s="5" t="s">
        <v>5174</v>
      </c>
      <c r="B707" s="3" t="s">
        <v>5175</v>
      </c>
    </row>
    <row r="708" spans="1:2" x14ac:dyDescent="0.35">
      <c r="A708" s="5" t="s">
        <v>5176</v>
      </c>
      <c r="B708" s="3" t="s">
        <v>5177</v>
      </c>
    </row>
    <row r="709" spans="1:2" x14ac:dyDescent="0.35">
      <c r="A709" s="5" t="s">
        <v>5178</v>
      </c>
      <c r="B709" s="3" t="s">
        <v>5179</v>
      </c>
    </row>
    <row r="710" spans="1:2" x14ac:dyDescent="0.35">
      <c r="A710" s="5" t="s">
        <v>5180</v>
      </c>
      <c r="B710" s="3" t="s">
        <v>5181</v>
      </c>
    </row>
    <row r="711" spans="1:2" x14ac:dyDescent="0.35">
      <c r="A711" s="5" t="s">
        <v>5182</v>
      </c>
      <c r="B711" s="3" t="s">
        <v>5183</v>
      </c>
    </row>
    <row r="712" spans="1:2" x14ac:dyDescent="0.35">
      <c r="A712" s="5" t="s">
        <v>5184</v>
      </c>
      <c r="B712" s="3" t="s">
        <v>5185</v>
      </c>
    </row>
    <row r="713" spans="1:2" x14ac:dyDescent="0.35">
      <c r="A713" s="5" t="s">
        <v>5186</v>
      </c>
      <c r="B713" s="3" t="s">
        <v>5187</v>
      </c>
    </row>
    <row r="714" spans="1:2" x14ac:dyDescent="0.35">
      <c r="A714" s="5" t="s">
        <v>5188</v>
      </c>
      <c r="B714" s="3" t="s">
        <v>5189</v>
      </c>
    </row>
    <row r="715" spans="1:2" x14ac:dyDescent="0.35">
      <c r="A715" s="5" t="s">
        <v>5190</v>
      </c>
      <c r="B715" s="3" t="s">
        <v>5191</v>
      </c>
    </row>
    <row r="716" spans="1:2" x14ac:dyDescent="0.35">
      <c r="A716" s="5" t="s">
        <v>5192</v>
      </c>
      <c r="B716" s="3" t="s">
        <v>5193</v>
      </c>
    </row>
    <row r="717" spans="1:2" x14ac:dyDescent="0.35">
      <c r="A717" s="5" t="s">
        <v>5194</v>
      </c>
      <c r="B717" s="3" t="s">
        <v>5195</v>
      </c>
    </row>
    <row r="718" spans="1:2" x14ac:dyDescent="0.35">
      <c r="A718" s="5" t="s">
        <v>5196</v>
      </c>
      <c r="B718" s="3" t="s">
        <v>5197</v>
      </c>
    </row>
    <row r="719" spans="1:2" x14ac:dyDescent="0.35">
      <c r="A719" s="5" t="s">
        <v>5198</v>
      </c>
      <c r="B719" s="3" t="s">
        <v>5199</v>
      </c>
    </row>
    <row r="720" spans="1:2" x14ac:dyDescent="0.35">
      <c r="A720" s="5" t="s">
        <v>5200</v>
      </c>
      <c r="B720" s="3" t="s">
        <v>5201</v>
      </c>
    </row>
    <row r="721" spans="1:2" x14ac:dyDescent="0.35">
      <c r="A721" s="5" t="s">
        <v>5202</v>
      </c>
      <c r="B721" s="3" t="s">
        <v>5203</v>
      </c>
    </row>
    <row r="722" spans="1:2" x14ac:dyDescent="0.35">
      <c r="A722" s="5" t="s">
        <v>5204</v>
      </c>
      <c r="B722" s="3" t="s">
        <v>5205</v>
      </c>
    </row>
    <row r="723" spans="1:2" x14ac:dyDescent="0.35">
      <c r="A723" s="5" t="s">
        <v>5206</v>
      </c>
      <c r="B723" s="3" t="s">
        <v>5207</v>
      </c>
    </row>
    <row r="724" spans="1:2" x14ac:dyDescent="0.35">
      <c r="A724" s="5" t="s">
        <v>5208</v>
      </c>
      <c r="B724" s="3" t="s">
        <v>5209</v>
      </c>
    </row>
    <row r="725" spans="1:2" x14ac:dyDescent="0.35">
      <c r="A725" s="5" t="s">
        <v>5210</v>
      </c>
      <c r="B725" s="3" t="s">
        <v>5211</v>
      </c>
    </row>
    <row r="726" spans="1:2" x14ac:dyDescent="0.35">
      <c r="A726" s="5" t="s">
        <v>5212</v>
      </c>
      <c r="B726" s="3" t="s">
        <v>5213</v>
      </c>
    </row>
    <row r="727" spans="1:2" x14ac:dyDescent="0.35">
      <c r="A727" s="5" t="s">
        <v>5214</v>
      </c>
      <c r="B727" s="3" t="s">
        <v>5215</v>
      </c>
    </row>
    <row r="728" spans="1:2" x14ac:dyDescent="0.35">
      <c r="A728" s="5" t="s">
        <v>5216</v>
      </c>
      <c r="B728" s="3" t="s">
        <v>5217</v>
      </c>
    </row>
    <row r="729" spans="1:2" x14ac:dyDescent="0.35">
      <c r="A729" s="5" t="s">
        <v>5218</v>
      </c>
      <c r="B729" s="3" t="s">
        <v>5219</v>
      </c>
    </row>
    <row r="730" spans="1:2" x14ac:dyDescent="0.35">
      <c r="A730" s="5" t="s">
        <v>5220</v>
      </c>
      <c r="B730" s="3" t="s">
        <v>5221</v>
      </c>
    </row>
    <row r="731" spans="1:2" x14ac:dyDescent="0.35">
      <c r="A731" s="5" t="s">
        <v>5222</v>
      </c>
      <c r="B731" s="3" t="s">
        <v>5223</v>
      </c>
    </row>
    <row r="732" spans="1:2" x14ac:dyDescent="0.35">
      <c r="A732" s="5" t="s">
        <v>5224</v>
      </c>
      <c r="B732" s="3" t="s">
        <v>5225</v>
      </c>
    </row>
    <row r="733" spans="1:2" x14ac:dyDescent="0.35">
      <c r="A733" s="5" t="s">
        <v>5226</v>
      </c>
      <c r="B733" s="3" t="s">
        <v>5227</v>
      </c>
    </row>
    <row r="734" spans="1:2" x14ac:dyDescent="0.35">
      <c r="A734" s="5" t="s">
        <v>5228</v>
      </c>
      <c r="B734" s="3" t="s">
        <v>5229</v>
      </c>
    </row>
    <row r="735" spans="1:2" x14ac:dyDescent="0.35">
      <c r="A735" s="5" t="s">
        <v>5230</v>
      </c>
      <c r="B735" s="3" t="s">
        <v>5231</v>
      </c>
    </row>
    <row r="736" spans="1:2" x14ac:dyDescent="0.35">
      <c r="A736" s="5" t="s">
        <v>5232</v>
      </c>
      <c r="B736" s="3" t="s">
        <v>5233</v>
      </c>
    </row>
    <row r="737" spans="1:2" x14ac:dyDescent="0.35">
      <c r="A737" s="5" t="s">
        <v>5234</v>
      </c>
      <c r="B737" s="3" t="s">
        <v>5235</v>
      </c>
    </row>
    <row r="738" spans="1:2" x14ac:dyDescent="0.35">
      <c r="A738" s="5" t="s">
        <v>5236</v>
      </c>
      <c r="B738" s="3" t="s">
        <v>5237</v>
      </c>
    </row>
    <row r="739" spans="1:2" x14ac:dyDescent="0.35">
      <c r="A739" s="5" t="s">
        <v>5238</v>
      </c>
      <c r="B739" s="3" t="s">
        <v>5239</v>
      </c>
    </row>
    <row r="740" spans="1:2" x14ac:dyDescent="0.35">
      <c r="A740" s="5" t="s">
        <v>5240</v>
      </c>
      <c r="B740" s="3" t="s">
        <v>5241</v>
      </c>
    </row>
    <row r="741" spans="1:2" x14ac:dyDescent="0.35">
      <c r="A741" s="5" t="s">
        <v>5242</v>
      </c>
      <c r="B741" s="3" t="s">
        <v>5243</v>
      </c>
    </row>
    <row r="742" spans="1:2" x14ac:dyDescent="0.35">
      <c r="A742" s="5" t="s">
        <v>5244</v>
      </c>
      <c r="B742" s="3" t="s">
        <v>5245</v>
      </c>
    </row>
    <row r="743" spans="1:2" x14ac:dyDescent="0.35">
      <c r="A743" s="5" t="s">
        <v>5246</v>
      </c>
      <c r="B743" s="3" t="s">
        <v>5247</v>
      </c>
    </row>
    <row r="744" spans="1:2" x14ac:dyDescent="0.35">
      <c r="A744" s="5" t="s">
        <v>5248</v>
      </c>
      <c r="B744" s="3" t="s">
        <v>5249</v>
      </c>
    </row>
    <row r="745" spans="1:2" x14ac:dyDescent="0.35">
      <c r="A745" s="5" t="s">
        <v>5250</v>
      </c>
      <c r="B745" s="3" t="s">
        <v>5251</v>
      </c>
    </row>
    <row r="746" spans="1:2" x14ac:dyDescent="0.35">
      <c r="A746" s="5" t="s">
        <v>5252</v>
      </c>
      <c r="B746" s="3" t="s">
        <v>5253</v>
      </c>
    </row>
    <row r="747" spans="1:2" x14ac:dyDescent="0.35">
      <c r="A747" s="5" t="s">
        <v>5254</v>
      </c>
      <c r="B747" s="3" t="s">
        <v>5255</v>
      </c>
    </row>
    <row r="748" spans="1:2" x14ac:dyDescent="0.35">
      <c r="A748" s="5" t="s">
        <v>5256</v>
      </c>
      <c r="B748" s="3" t="s">
        <v>5257</v>
      </c>
    </row>
    <row r="749" spans="1:2" x14ac:dyDescent="0.35">
      <c r="A749" s="5" t="s">
        <v>5258</v>
      </c>
      <c r="B749" s="3" t="s">
        <v>5259</v>
      </c>
    </row>
    <row r="750" spans="1:2" x14ac:dyDescent="0.35">
      <c r="A750" s="5" t="s">
        <v>5260</v>
      </c>
      <c r="B750" s="3" t="s">
        <v>5261</v>
      </c>
    </row>
    <row r="751" spans="1:2" x14ac:dyDescent="0.35">
      <c r="A751" s="5" t="s">
        <v>5262</v>
      </c>
      <c r="B751" s="3" t="s">
        <v>5263</v>
      </c>
    </row>
    <row r="752" spans="1:2" x14ac:dyDescent="0.35">
      <c r="A752" s="5" t="s">
        <v>5264</v>
      </c>
      <c r="B752" s="3" t="s">
        <v>5265</v>
      </c>
    </row>
    <row r="753" spans="1:2" x14ac:dyDescent="0.35">
      <c r="A753" s="5" t="s">
        <v>5266</v>
      </c>
      <c r="B753" s="3" t="s">
        <v>5267</v>
      </c>
    </row>
    <row r="754" spans="1:2" x14ac:dyDescent="0.35">
      <c r="A754" s="5" t="s">
        <v>5268</v>
      </c>
      <c r="B754" s="3" t="s">
        <v>5269</v>
      </c>
    </row>
    <row r="755" spans="1:2" x14ac:dyDescent="0.35">
      <c r="A755" s="5" t="s">
        <v>5270</v>
      </c>
      <c r="B755" s="3" t="s">
        <v>5271</v>
      </c>
    </row>
    <row r="756" spans="1:2" x14ac:dyDescent="0.35">
      <c r="A756" s="5" t="s">
        <v>5272</v>
      </c>
      <c r="B756" s="3" t="s">
        <v>5273</v>
      </c>
    </row>
    <row r="757" spans="1:2" x14ac:dyDescent="0.35">
      <c r="A757" s="5" t="s">
        <v>5274</v>
      </c>
      <c r="B757" s="3" t="s">
        <v>5275</v>
      </c>
    </row>
    <row r="758" spans="1:2" x14ac:dyDescent="0.35">
      <c r="A758" s="5" t="s">
        <v>5276</v>
      </c>
      <c r="B758" s="3" t="s">
        <v>5277</v>
      </c>
    </row>
    <row r="759" spans="1:2" x14ac:dyDescent="0.35">
      <c r="A759" s="5" t="s">
        <v>5278</v>
      </c>
      <c r="B759" s="3" t="s">
        <v>5279</v>
      </c>
    </row>
    <row r="760" spans="1:2" x14ac:dyDescent="0.35">
      <c r="A760" s="5" t="s">
        <v>5280</v>
      </c>
      <c r="B760" s="3" t="s">
        <v>5281</v>
      </c>
    </row>
    <row r="761" spans="1:2" x14ac:dyDescent="0.35">
      <c r="A761" s="5" t="s">
        <v>5282</v>
      </c>
      <c r="B761" s="3" t="s">
        <v>5283</v>
      </c>
    </row>
    <row r="762" spans="1:2" x14ac:dyDescent="0.35">
      <c r="A762" s="5" t="s">
        <v>5284</v>
      </c>
      <c r="B762" s="3" t="s">
        <v>5285</v>
      </c>
    </row>
    <row r="763" spans="1:2" x14ac:dyDescent="0.35">
      <c r="A763" s="5" t="s">
        <v>5286</v>
      </c>
      <c r="B763" s="3" t="s">
        <v>5287</v>
      </c>
    </row>
    <row r="764" spans="1:2" x14ac:dyDescent="0.35">
      <c r="A764" s="5" t="s">
        <v>5288</v>
      </c>
      <c r="B764" s="3" t="s">
        <v>5289</v>
      </c>
    </row>
    <row r="765" spans="1:2" x14ac:dyDescent="0.35">
      <c r="A765" s="5" t="s">
        <v>5290</v>
      </c>
      <c r="B765" s="3" t="s">
        <v>5291</v>
      </c>
    </row>
    <row r="766" spans="1:2" x14ac:dyDescent="0.35">
      <c r="A766" s="5" t="s">
        <v>5292</v>
      </c>
      <c r="B766" s="3" t="s">
        <v>5293</v>
      </c>
    </row>
    <row r="767" spans="1:2" x14ac:dyDescent="0.35">
      <c r="A767" s="5" t="s">
        <v>5294</v>
      </c>
      <c r="B767" s="3" t="s">
        <v>5295</v>
      </c>
    </row>
    <row r="768" spans="1:2" x14ac:dyDescent="0.35">
      <c r="A768" s="5" t="s">
        <v>5296</v>
      </c>
      <c r="B768" s="3" t="s">
        <v>5297</v>
      </c>
    </row>
    <row r="769" spans="1:2" x14ac:dyDescent="0.35">
      <c r="A769" s="5" t="s">
        <v>5298</v>
      </c>
      <c r="B769" s="3" t="s">
        <v>5299</v>
      </c>
    </row>
    <row r="770" spans="1:2" x14ac:dyDescent="0.35">
      <c r="A770" s="5" t="s">
        <v>5300</v>
      </c>
      <c r="B770" s="3" t="s">
        <v>5301</v>
      </c>
    </row>
    <row r="771" spans="1:2" x14ac:dyDescent="0.35">
      <c r="A771" s="5" t="s">
        <v>5302</v>
      </c>
      <c r="B771" s="3" t="s">
        <v>5303</v>
      </c>
    </row>
    <row r="772" spans="1:2" x14ac:dyDescent="0.35">
      <c r="A772" s="5" t="s">
        <v>5304</v>
      </c>
      <c r="B772" s="3" t="s">
        <v>5305</v>
      </c>
    </row>
    <row r="773" spans="1:2" x14ac:dyDescent="0.35">
      <c r="A773" s="5" t="s">
        <v>5306</v>
      </c>
      <c r="B773" s="3" t="s">
        <v>5307</v>
      </c>
    </row>
    <row r="774" spans="1:2" x14ac:dyDescent="0.35">
      <c r="A774" s="5" t="s">
        <v>5308</v>
      </c>
      <c r="B774" s="3" t="s">
        <v>5309</v>
      </c>
    </row>
    <row r="775" spans="1:2" x14ac:dyDescent="0.35">
      <c r="A775" s="5" t="s">
        <v>5310</v>
      </c>
      <c r="B775" s="3" t="s">
        <v>5311</v>
      </c>
    </row>
    <row r="776" spans="1:2" x14ac:dyDescent="0.35">
      <c r="A776" s="5" t="s">
        <v>5312</v>
      </c>
      <c r="B776" s="3" t="s">
        <v>5313</v>
      </c>
    </row>
    <row r="777" spans="1:2" x14ac:dyDescent="0.35">
      <c r="A777" s="5" t="s">
        <v>5314</v>
      </c>
      <c r="B777" s="3" t="s">
        <v>5315</v>
      </c>
    </row>
    <row r="778" spans="1:2" x14ac:dyDescent="0.35">
      <c r="A778" s="5" t="s">
        <v>5316</v>
      </c>
      <c r="B778" s="3" t="s">
        <v>5317</v>
      </c>
    </row>
    <row r="779" spans="1:2" x14ac:dyDescent="0.35">
      <c r="A779" s="5" t="s">
        <v>5318</v>
      </c>
      <c r="B779" s="3" t="s">
        <v>5319</v>
      </c>
    </row>
    <row r="780" spans="1:2" x14ac:dyDescent="0.35">
      <c r="A780" s="5" t="s">
        <v>5320</v>
      </c>
      <c r="B780" s="3" t="s">
        <v>5321</v>
      </c>
    </row>
    <row r="781" spans="1:2" x14ac:dyDescent="0.35">
      <c r="A781" s="5" t="s">
        <v>5322</v>
      </c>
      <c r="B781" s="3" t="s">
        <v>5323</v>
      </c>
    </row>
    <row r="782" spans="1:2" x14ac:dyDescent="0.35">
      <c r="A782" s="5" t="s">
        <v>5324</v>
      </c>
      <c r="B782" s="3" t="s">
        <v>5325</v>
      </c>
    </row>
    <row r="783" spans="1:2" x14ac:dyDescent="0.35">
      <c r="A783" s="5" t="s">
        <v>5326</v>
      </c>
      <c r="B783" s="3" t="s">
        <v>5327</v>
      </c>
    </row>
    <row r="784" spans="1:2" x14ac:dyDescent="0.35">
      <c r="A784" s="5" t="s">
        <v>5328</v>
      </c>
      <c r="B784" s="3" t="s">
        <v>5329</v>
      </c>
    </row>
    <row r="785" spans="1:2" x14ac:dyDescent="0.35">
      <c r="A785" s="5" t="s">
        <v>5330</v>
      </c>
      <c r="B785" s="3" t="s">
        <v>5331</v>
      </c>
    </row>
    <row r="786" spans="1:2" x14ac:dyDescent="0.35">
      <c r="A786" s="5" t="s">
        <v>5332</v>
      </c>
      <c r="B786" s="3" t="s">
        <v>5333</v>
      </c>
    </row>
    <row r="787" spans="1:2" x14ac:dyDescent="0.35">
      <c r="A787" s="5" t="s">
        <v>5334</v>
      </c>
      <c r="B787" s="3" t="s">
        <v>5335</v>
      </c>
    </row>
    <row r="788" spans="1:2" x14ac:dyDescent="0.35">
      <c r="A788" s="5" t="s">
        <v>5336</v>
      </c>
      <c r="B788" s="3" t="s">
        <v>5337</v>
      </c>
    </row>
    <row r="789" spans="1:2" x14ac:dyDescent="0.35">
      <c r="A789" s="5" t="s">
        <v>5338</v>
      </c>
      <c r="B789" s="3" t="s">
        <v>5339</v>
      </c>
    </row>
    <row r="790" spans="1:2" x14ac:dyDescent="0.35">
      <c r="A790" s="5" t="s">
        <v>5340</v>
      </c>
      <c r="B790" s="3" t="s">
        <v>5341</v>
      </c>
    </row>
    <row r="791" spans="1:2" x14ac:dyDescent="0.35">
      <c r="A791" s="5" t="s">
        <v>5342</v>
      </c>
      <c r="B791" s="3" t="s">
        <v>5343</v>
      </c>
    </row>
    <row r="792" spans="1:2" x14ac:dyDescent="0.35">
      <c r="A792" s="5" t="s">
        <v>5344</v>
      </c>
      <c r="B792" s="3" t="s">
        <v>5345</v>
      </c>
    </row>
    <row r="793" spans="1:2" x14ac:dyDescent="0.35">
      <c r="A793" s="5" t="s">
        <v>5346</v>
      </c>
      <c r="B793" s="3" t="s">
        <v>5347</v>
      </c>
    </row>
    <row r="794" spans="1:2" x14ac:dyDescent="0.35">
      <c r="A794" s="5" t="s">
        <v>5348</v>
      </c>
      <c r="B794" s="3" t="s">
        <v>5349</v>
      </c>
    </row>
    <row r="795" spans="1:2" x14ac:dyDescent="0.35">
      <c r="A795" s="5" t="s">
        <v>5350</v>
      </c>
      <c r="B795" s="3" t="s">
        <v>5351</v>
      </c>
    </row>
    <row r="796" spans="1:2" x14ac:dyDescent="0.35">
      <c r="A796" s="5" t="s">
        <v>5352</v>
      </c>
      <c r="B796" s="3" t="s">
        <v>5353</v>
      </c>
    </row>
    <row r="797" spans="1:2" x14ac:dyDescent="0.35">
      <c r="A797" s="5" t="s">
        <v>5354</v>
      </c>
      <c r="B797" s="3" t="s">
        <v>5355</v>
      </c>
    </row>
    <row r="798" spans="1:2" x14ac:dyDescent="0.35">
      <c r="A798" s="5" t="s">
        <v>5356</v>
      </c>
      <c r="B798" s="3" t="s">
        <v>5357</v>
      </c>
    </row>
    <row r="799" spans="1:2" x14ac:dyDescent="0.35">
      <c r="A799" s="5" t="s">
        <v>5358</v>
      </c>
      <c r="B799" s="3" t="s">
        <v>5359</v>
      </c>
    </row>
    <row r="800" spans="1:2" x14ac:dyDescent="0.35">
      <c r="A800" s="5" t="s">
        <v>5360</v>
      </c>
      <c r="B800" s="3" t="s">
        <v>5361</v>
      </c>
    </row>
    <row r="801" spans="1:2" x14ac:dyDescent="0.35">
      <c r="A801" s="5" t="s">
        <v>5362</v>
      </c>
      <c r="B801" s="3" t="s">
        <v>5363</v>
      </c>
    </row>
    <row r="802" spans="1:2" x14ac:dyDescent="0.35">
      <c r="A802" s="5" t="s">
        <v>5364</v>
      </c>
      <c r="B802" s="3" t="s">
        <v>5365</v>
      </c>
    </row>
    <row r="803" spans="1:2" x14ac:dyDescent="0.35">
      <c r="A803" s="5" t="s">
        <v>5366</v>
      </c>
      <c r="B803" s="3" t="s">
        <v>5367</v>
      </c>
    </row>
    <row r="804" spans="1:2" x14ac:dyDescent="0.35">
      <c r="A804" s="5" t="s">
        <v>5368</v>
      </c>
      <c r="B804" s="3" t="s">
        <v>5369</v>
      </c>
    </row>
    <row r="805" spans="1:2" x14ac:dyDescent="0.35">
      <c r="A805" s="5" t="s">
        <v>5370</v>
      </c>
      <c r="B805" s="3" t="s">
        <v>5371</v>
      </c>
    </row>
    <row r="806" spans="1:2" x14ac:dyDescent="0.35">
      <c r="A806" s="5" t="s">
        <v>5372</v>
      </c>
      <c r="B806" s="3" t="s">
        <v>5373</v>
      </c>
    </row>
    <row r="807" spans="1:2" x14ac:dyDescent="0.35">
      <c r="A807" s="5" t="s">
        <v>5374</v>
      </c>
      <c r="B807" s="3" t="s">
        <v>5375</v>
      </c>
    </row>
    <row r="808" spans="1:2" x14ac:dyDescent="0.35">
      <c r="A808" s="5" t="s">
        <v>5376</v>
      </c>
      <c r="B808" s="3" t="s">
        <v>5377</v>
      </c>
    </row>
    <row r="809" spans="1:2" x14ac:dyDescent="0.35">
      <c r="A809" s="5" t="s">
        <v>5378</v>
      </c>
      <c r="B809" s="3" t="s">
        <v>5379</v>
      </c>
    </row>
    <row r="810" spans="1:2" x14ac:dyDescent="0.35">
      <c r="A810" s="5" t="s">
        <v>5380</v>
      </c>
      <c r="B810" s="3" t="s">
        <v>5381</v>
      </c>
    </row>
    <row r="811" spans="1:2" x14ac:dyDescent="0.35">
      <c r="A811" s="5" t="s">
        <v>5382</v>
      </c>
      <c r="B811" s="3" t="s">
        <v>5383</v>
      </c>
    </row>
    <row r="812" spans="1:2" x14ac:dyDescent="0.35">
      <c r="A812" s="5" t="s">
        <v>5384</v>
      </c>
      <c r="B812" s="3" t="s">
        <v>5385</v>
      </c>
    </row>
    <row r="813" spans="1:2" x14ac:dyDescent="0.35">
      <c r="A813" s="5" t="s">
        <v>5386</v>
      </c>
      <c r="B813" s="3" t="s">
        <v>5387</v>
      </c>
    </row>
    <row r="814" spans="1:2" x14ac:dyDescent="0.35">
      <c r="A814" s="5" t="s">
        <v>5388</v>
      </c>
      <c r="B814" s="3" t="s">
        <v>5389</v>
      </c>
    </row>
    <row r="815" spans="1:2" x14ac:dyDescent="0.35">
      <c r="A815" s="5" t="s">
        <v>5390</v>
      </c>
      <c r="B815" s="3" t="s">
        <v>5391</v>
      </c>
    </row>
    <row r="816" spans="1:2" x14ac:dyDescent="0.35">
      <c r="A816" s="5" t="s">
        <v>5392</v>
      </c>
      <c r="B816" s="3" t="s">
        <v>5393</v>
      </c>
    </row>
    <row r="817" spans="1:2" x14ac:dyDescent="0.35">
      <c r="A817" s="5" t="s">
        <v>5394</v>
      </c>
      <c r="B817" s="3" t="s">
        <v>5395</v>
      </c>
    </row>
    <row r="818" spans="1:2" x14ac:dyDescent="0.35">
      <c r="A818" s="5" t="s">
        <v>5396</v>
      </c>
      <c r="B818" s="3" t="s">
        <v>5397</v>
      </c>
    </row>
    <row r="819" spans="1:2" x14ac:dyDescent="0.35">
      <c r="A819" s="5" t="s">
        <v>5398</v>
      </c>
      <c r="B819" s="3" t="s">
        <v>5399</v>
      </c>
    </row>
    <row r="820" spans="1:2" x14ac:dyDescent="0.35">
      <c r="A820" s="5" t="s">
        <v>5400</v>
      </c>
      <c r="B820" s="3" t="s">
        <v>5401</v>
      </c>
    </row>
    <row r="821" spans="1:2" x14ac:dyDescent="0.35">
      <c r="A821" s="5" t="s">
        <v>5402</v>
      </c>
      <c r="B821" s="3" t="s">
        <v>5403</v>
      </c>
    </row>
    <row r="822" spans="1:2" x14ac:dyDescent="0.35">
      <c r="A822" s="5" t="s">
        <v>5404</v>
      </c>
      <c r="B822" s="3" t="s">
        <v>5405</v>
      </c>
    </row>
    <row r="823" spans="1:2" x14ac:dyDescent="0.35">
      <c r="A823" s="5" t="s">
        <v>5406</v>
      </c>
      <c r="B823" s="3" t="s">
        <v>5407</v>
      </c>
    </row>
    <row r="824" spans="1:2" x14ac:dyDescent="0.35">
      <c r="A824" s="5" t="s">
        <v>5408</v>
      </c>
      <c r="B824" s="3" t="s">
        <v>5409</v>
      </c>
    </row>
    <row r="825" spans="1:2" x14ac:dyDescent="0.35">
      <c r="A825" s="5" t="s">
        <v>5410</v>
      </c>
      <c r="B825" s="3" t="s">
        <v>5411</v>
      </c>
    </row>
    <row r="826" spans="1:2" x14ac:dyDescent="0.35">
      <c r="A826" s="5" t="s">
        <v>5412</v>
      </c>
      <c r="B826" s="3" t="s">
        <v>5413</v>
      </c>
    </row>
    <row r="827" spans="1:2" x14ac:dyDescent="0.35">
      <c r="A827" s="5" t="s">
        <v>5414</v>
      </c>
      <c r="B827" s="3" t="s">
        <v>5415</v>
      </c>
    </row>
    <row r="828" spans="1:2" x14ac:dyDescent="0.35">
      <c r="A828" s="5" t="s">
        <v>5416</v>
      </c>
      <c r="B828" s="3" t="s">
        <v>5417</v>
      </c>
    </row>
    <row r="829" spans="1:2" x14ac:dyDescent="0.35">
      <c r="A829" s="5" t="s">
        <v>5418</v>
      </c>
      <c r="B829" s="3" t="s">
        <v>5419</v>
      </c>
    </row>
    <row r="830" spans="1:2" x14ac:dyDescent="0.35">
      <c r="A830" s="5" t="s">
        <v>5420</v>
      </c>
      <c r="B830" s="3" t="s">
        <v>5421</v>
      </c>
    </row>
    <row r="831" spans="1:2" x14ac:dyDescent="0.35">
      <c r="A831" s="5" t="s">
        <v>5422</v>
      </c>
      <c r="B831" s="3" t="s">
        <v>5423</v>
      </c>
    </row>
    <row r="832" spans="1:2" x14ac:dyDescent="0.35">
      <c r="A832" s="5" t="s">
        <v>5424</v>
      </c>
      <c r="B832" s="3" t="s">
        <v>5425</v>
      </c>
    </row>
    <row r="833" spans="1:2" x14ac:dyDescent="0.35">
      <c r="A833" s="5" t="s">
        <v>5426</v>
      </c>
      <c r="B833" s="3" t="s">
        <v>5427</v>
      </c>
    </row>
    <row r="834" spans="1:2" x14ac:dyDescent="0.35">
      <c r="A834" s="5" t="s">
        <v>5428</v>
      </c>
      <c r="B834" s="3" t="s">
        <v>5429</v>
      </c>
    </row>
    <row r="835" spans="1:2" x14ac:dyDescent="0.35">
      <c r="A835" s="5" t="s">
        <v>5430</v>
      </c>
      <c r="B835" s="3" t="s">
        <v>5431</v>
      </c>
    </row>
    <row r="836" spans="1:2" x14ac:dyDescent="0.35">
      <c r="A836" s="5" t="s">
        <v>5432</v>
      </c>
      <c r="B836" s="3" t="s">
        <v>5433</v>
      </c>
    </row>
    <row r="837" spans="1:2" x14ac:dyDescent="0.35">
      <c r="A837" s="5" t="s">
        <v>5434</v>
      </c>
      <c r="B837" s="3" t="s">
        <v>5435</v>
      </c>
    </row>
    <row r="838" spans="1:2" x14ac:dyDescent="0.35">
      <c r="A838" s="5" t="s">
        <v>5436</v>
      </c>
      <c r="B838" s="3" t="s">
        <v>5437</v>
      </c>
    </row>
    <row r="839" spans="1:2" x14ac:dyDescent="0.35">
      <c r="A839" s="5" t="s">
        <v>5438</v>
      </c>
      <c r="B839" s="3" t="s">
        <v>5439</v>
      </c>
    </row>
    <row r="840" spans="1:2" x14ac:dyDescent="0.35">
      <c r="A840" s="5" t="s">
        <v>5440</v>
      </c>
      <c r="B840" s="3" t="s">
        <v>5441</v>
      </c>
    </row>
    <row r="841" spans="1:2" x14ac:dyDescent="0.35">
      <c r="A841" s="5" t="s">
        <v>5442</v>
      </c>
      <c r="B841" s="3" t="s">
        <v>5443</v>
      </c>
    </row>
    <row r="842" spans="1:2" x14ac:dyDescent="0.35">
      <c r="A842" s="5" t="s">
        <v>5444</v>
      </c>
      <c r="B842" s="3" t="s">
        <v>5445</v>
      </c>
    </row>
    <row r="843" spans="1:2" x14ac:dyDescent="0.35">
      <c r="A843" s="5" t="s">
        <v>5446</v>
      </c>
      <c r="B843" s="3" t="s">
        <v>5447</v>
      </c>
    </row>
    <row r="844" spans="1:2" x14ac:dyDescent="0.35">
      <c r="A844" s="5" t="s">
        <v>5448</v>
      </c>
      <c r="B844" s="3" t="s">
        <v>5449</v>
      </c>
    </row>
    <row r="845" spans="1:2" x14ac:dyDescent="0.35">
      <c r="A845" s="5" t="s">
        <v>5450</v>
      </c>
      <c r="B845" s="3" t="s">
        <v>5451</v>
      </c>
    </row>
    <row r="846" spans="1:2" x14ac:dyDescent="0.35">
      <c r="A846" s="5" t="s">
        <v>5452</v>
      </c>
      <c r="B846" s="3" t="s">
        <v>5453</v>
      </c>
    </row>
    <row r="847" spans="1:2" x14ac:dyDescent="0.35">
      <c r="A847" s="5" t="s">
        <v>5454</v>
      </c>
      <c r="B847" s="3" t="s">
        <v>5455</v>
      </c>
    </row>
    <row r="848" spans="1:2" x14ac:dyDescent="0.35">
      <c r="A848" s="5" t="s">
        <v>5456</v>
      </c>
      <c r="B848" s="3" t="s">
        <v>5457</v>
      </c>
    </row>
    <row r="849" spans="1:2" x14ac:dyDescent="0.35">
      <c r="A849" s="5" t="s">
        <v>5458</v>
      </c>
      <c r="B849" s="3" t="s">
        <v>5459</v>
      </c>
    </row>
    <row r="850" spans="1:2" x14ac:dyDescent="0.35">
      <c r="A850" s="5" t="s">
        <v>5460</v>
      </c>
      <c r="B850" s="3" t="s">
        <v>5461</v>
      </c>
    </row>
    <row r="851" spans="1:2" x14ac:dyDescent="0.35">
      <c r="A851" s="5" t="s">
        <v>5462</v>
      </c>
      <c r="B851" s="3" t="s">
        <v>5463</v>
      </c>
    </row>
    <row r="852" spans="1:2" x14ac:dyDescent="0.35">
      <c r="A852" s="5" t="s">
        <v>5464</v>
      </c>
      <c r="B852" s="3" t="s">
        <v>5465</v>
      </c>
    </row>
    <row r="853" spans="1:2" x14ac:dyDescent="0.35">
      <c r="A853" s="5" t="s">
        <v>5466</v>
      </c>
      <c r="B853" s="3" t="s">
        <v>5467</v>
      </c>
    </row>
    <row r="854" spans="1:2" x14ac:dyDescent="0.35">
      <c r="A854" s="5" t="s">
        <v>5468</v>
      </c>
      <c r="B854" s="3" t="s">
        <v>5469</v>
      </c>
    </row>
    <row r="855" spans="1:2" x14ac:dyDescent="0.35">
      <c r="A855" s="5" t="s">
        <v>5470</v>
      </c>
      <c r="B855" s="3" t="s">
        <v>5471</v>
      </c>
    </row>
    <row r="856" spans="1:2" x14ac:dyDescent="0.35">
      <c r="A856" s="5" t="s">
        <v>5472</v>
      </c>
      <c r="B856" s="3" t="s">
        <v>5473</v>
      </c>
    </row>
    <row r="857" spans="1:2" x14ac:dyDescent="0.35">
      <c r="A857" s="5" t="s">
        <v>5474</v>
      </c>
      <c r="B857" s="3" t="s">
        <v>5475</v>
      </c>
    </row>
    <row r="858" spans="1:2" x14ac:dyDescent="0.35">
      <c r="A858" s="5" t="s">
        <v>5476</v>
      </c>
      <c r="B858" s="3" t="s">
        <v>5477</v>
      </c>
    </row>
    <row r="859" spans="1:2" x14ac:dyDescent="0.35">
      <c r="A859" s="5" t="s">
        <v>5478</v>
      </c>
      <c r="B859" s="3" t="s">
        <v>5479</v>
      </c>
    </row>
    <row r="860" spans="1:2" x14ac:dyDescent="0.35">
      <c r="A860" s="5" t="s">
        <v>5480</v>
      </c>
      <c r="B860" s="3" t="s">
        <v>5481</v>
      </c>
    </row>
    <row r="861" spans="1:2" x14ac:dyDescent="0.35">
      <c r="A861" s="5" t="s">
        <v>5482</v>
      </c>
      <c r="B861" s="3" t="s">
        <v>5483</v>
      </c>
    </row>
    <row r="862" spans="1:2" x14ac:dyDescent="0.35">
      <c r="A862" s="5" t="s">
        <v>5484</v>
      </c>
      <c r="B862" s="3" t="s">
        <v>5485</v>
      </c>
    </row>
    <row r="863" spans="1:2" x14ac:dyDescent="0.35">
      <c r="A863" s="5" t="s">
        <v>5486</v>
      </c>
      <c r="B863" s="3" t="s">
        <v>5487</v>
      </c>
    </row>
    <row r="864" spans="1:2" x14ac:dyDescent="0.35">
      <c r="A864" s="5" t="s">
        <v>5488</v>
      </c>
      <c r="B864" s="3" t="s">
        <v>5489</v>
      </c>
    </row>
    <row r="865" spans="1:2" x14ac:dyDescent="0.35">
      <c r="A865" s="5" t="s">
        <v>5490</v>
      </c>
      <c r="B865" s="3" t="s">
        <v>5491</v>
      </c>
    </row>
    <row r="866" spans="1:2" x14ac:dyDescent="0.35">
      <c r="A866" s="5" t="s">
        <v>5492</v>
      </c>
      <c r="B866" s="3" t="s">
        <v>5493</v>
      </c>
    </row>
    <row r="867" spans="1:2" x14ac:dyDescent="0.35">
      <c r="A867" s="5" t="s">
        <v>5494</v>
      </c>
      <c r="B867" s="3" t="s">
        <v>5495</v>
      </c>
    </row>
    <row r="868" spans="1:2" x14ac:dyDescent="0.35">
      <c r="A868" s="5" t="s">
        <v>5496</v>
      </c>
      <c r="B868" s="3" t="s">
        <v>5497</v>
      </c>
    </row>
    <row r="869" spans="1:2" x14ac:dyDescent="0.35">
      <c r="A869" s="5" t="s">
        <v>5498</v>
      </c>
      <c r="B869" s="3" t="s">
        <v>5499</v>
      </c>
    </row>
    <row r="870" spans="1:2" x14ac:dyDescent="0.35">
      <c r="A870" s="5" t="s">
        <v>5500</v>
      </c>
      <c r="B870" s="3" t="s">
        <v>5501</v>
      </c>
    </row>
    <row r="871" spans="1:2" x14ac:dyDescent="0.35">
      <c r="A871" s="5" t="s">
        <v>5502</v>
      </c>
      <c r="B871" s="3" t="s">
        <v>5503</v>
      </c>
    </row>
    <row r="872" spans="1:2" x14ac:dyDescent="0.35">
      <c r="A872" s="5" t="s">
        <v>5504</v>
      </c>
      <c r="B872" s="3" t="s">
        <v>5505</v>
      </c>
    </row>
    <row r="873" spans="1:2" x14ac:dyDescent="0.35">
      <c r="A873" s="5" t="s">
        <v>5506</v>
      </c>
      <c r="B873" s="3" t="s">
        <v>5507</v>
      </c>
    </row>
    <row r="874" spans="1:2" x14ac:dyDescent="0.35">
      <c r="A874" s="5" t="s">
        <v>5508</v>
      </c>
      <c r="B874" s="3" t="s">
        <v>5509</v>
      </c>
    </row>
    <row r="875" spans="1:2" x14ac:dyDescent="0.35">
      <c r="A875" s="5" t="s">
        <v>5510</v>
      </c>
      <c r="B875" s="3" t="s">
        <v>5511</v>
      </c>
    </row>
    <row r="876" spans="1:2" x14ac:dyDescent="0.35">
      <c r="A876" s="5" t="s">
        <v>5512</v>
      </c>
      <c r="B876" s="3" t="s">
        <v>5513</v>
      </c>
    </row>
    <row r="877" spans="1:2" x14ac:dyDescent="0.35">
      <c r="A877" s="5" t="s">
        <v>5514</v>
      </c>
      <c r="B877" s="3" t="s">
        <v>5515</v>
      </c>
    </row>
    <row r="878" spans="1:2" x14ac:dyDescent="0.35">
      <c r="A878" s="5" t="s">
        <v>5516</v>
      </c>
      <c r="B878" s="3" t="s">
        <v>5517</v>
      </c>
    </row>
    <row r="879" spans="1:2" x14ac:dyDescent="0.35">
      <c r="A879" s="5" t="s">
        <v>5518</v>
      </c>
      <c r="B879" s="3" t="s">
        <v>5519</v>
      </c>
    </row>
    <row r="880" spans="1:2" x14ac:dyDescent="0.35">
      <c r="A880" s="5" t="s">
        <v>5520</v>
      </c>
      <c r="B880" s="3" t="s">
        <v>5521</v>
      </c>
    </row>
    <row r="881" spans="1:2" x14ac:dyDescent="0.35">
      <c r="A881" s="5" t="s">
        <v>5522</v>
      </c>
      <c r="B881" s="3" t="s">
        <v>5523</v>
      </c>
    </row>
    <row r="882" spans="1:2" x14ac:dyDescent="0.35">
      <c r="A882" s="5" t="s">
        <v>5524</v>
      </c>
      <c r="B882" s="3" t="s">
        <v>5525</v>
      </c>
    </row>
    <row r="883" spans="1:2" x14ac:dyDescent="0.35">
      <c r="A883" s="5" t="s">
        <v>5526</v>
      </c>
      <c r="B883" s="3" t="s">
        <v>5527</v>
      </c>
    </row>
    <row r="884" spans="1:2" x14ac:dyDescent="0.35">
      <c r="A884" s="5" t="s">
        <v>5528</v>
      </c>
      <c r="B884" s="3" t="s">
        <v>5529</v>
      </c>
    </row>
    <row r="885" spans="1:2" x14ac:dyDescent="0.35">
      <c r="A885" s="5" t="s">
        <v>5530</v>
      </c>
      <c r="B885" s="3" t="s">
        <v>5531</v>
      </c>
    </row>
    <row r="886" spans="1:2" x14ac:dyDescent="0.35">
      <c r="A886" s="5" t="s">
        <v>5532</v>
      </c>
      <c r="B886" s="3" t="s">
        <v>5533</v>
      </c>
    </row>
    <row r="887" spans="1:2" x14ac:dyDescent="0.35">
      <c r="A887" s="5" t="s">
        <v>5534</v>
      </c>
      <c r="B887" s="3" t="s">
        <v>5535</v>
      </c>
    </row>
    <row r="888" spans="1:2" x14ac:dyDescent="0.35">
      <c r="A888" s="5" t="s">
        <v>5536</v>
      </c>
      <c r="B888" s="3" t="s">
        <v>5537</v>
      </c>
    </row>
    <row r="889" spans="1:2" x14ac:dyDescent="0.35">
      <c r="A889" s="5" t="s">
        <v>5538</v>
      </c>
      <c r="B889" s="3" t="s">
        <v>5539</v>
      </c>
    </row>
    <row r="890" spans="1:2" x14ac:dyDescent="0.35">
      <c r="A890" s="5" t="s">
        <v>5540</v>
      </c>
      <c r="B890" s="3" t="s">
        <v>5541</v>
      </c>
    </row>
    <row r="891" spans="1:2" x14ac:dyDescent="0.35">
      <c r="A891" s="5" t="s">
        <v>5542</v>
      </c>
      <c r="B891" s="3" t="s">
        <v>5543</v>
      </c>
    </row>
    <row r="892" spans="1:2" x14ac:dyDescent="0.35">
      <c r="A892" s="5" t="s">
        <v>5544</v>
      </c>
      <c r="B892" s="3" t="s">
        <v>5545</v>
      </c>
    </row>
    <row r="893" spans="1:2" x14ac:dyDescent="0.35">
      <c r="A893" s="5" t="s">
        <v>5546</v>
      </c>
      <c r="B893" s="3" t="s">
        <v>5547</v>
      </c>
    </row>
    <row r="894" spans="1:2" x14ac:dyDescent="0.35">
      <c r="A894" s="5" t="s">
        <v>5548</v>
      </c>
      <c r="B894" s="3" t="s">
        <v>5549</v>
      </c>
    </row>
    <row r="895" spans="1:2" x14ac:dyDescent="0.35">
      <c r="A895" s="5" t="s">
        <v>5550</v>
      </c>
      <c r="B895" s="3" t="s">
        <v>5551</v>
      </c>
    </row>
    <row r="896" spans="1:2" x14ac:dyDescent="0.35">
      <c r="A896" s="5" t="s">
        <v>5552</v>
      </c>
      <c r="B896" s="3" t="s">
        <v>5553</v>
      </c>
    </row>
    <row r="897" spans="1:2" x14ac:dyDescent="0.35">
      <c r="A897" s="5" t="s">
        <v>5554</v>
      </c>
      <c r="B897" s="3" t="s">
        <v>5555</v>
      </c>
    </row>
    <row r="898" spans="1:2" x14ac:dyDescent="0.35">
      <c r="A898" s="5" t="s">
        <v>5556</v>
      </c>
      <c r="B898" s="3" t="s">
        <v>5557</v>
      </c>
    </row>
    <row r="899" spans="1:2" x14ac:dyDescent="0.35">
      <c r="A899" s="5" t="s">
        <v>5558</v>
      </c>
      <c r="B899" s="3" t="s">
        <v>5559</v>
      </c>
    </row>
    <row r="900" spans="1:2" x14ac:dyDescent="0.35">
      <c r="A900" s="5" t="s">
        <v>5560</v>
      </c>
      <c r="B900" s="3" t="s">
        <v>5561</v>
      </c>
    </row>
    <row r="901" spans="1:2" x14ac:dyDescent="0.35">
      <c r="A901" s="5" t="s">
        <v>5562</v>
      </c>
      <c r="B901" s="3" t="s">
        <v>5563</v>
      </c>
    </row>
    <row r="902" spans="1:2" x14ac:dyDescent="0.35">
      <c r="A902" s="5" t="s">
        <v>5564</v>
      </c>
      <c r="B902" s="3" t="s">
        <v>5565</v>
      </c>
    </row>
    <row r="903" spans="1:2" x14ac:dyDescent="0.35">
      <c r="A903" s="5" t="s">
        <v>5566</v>
      </c>
      <c r="B903" s="3" t="s">
        <v>5567</v>
      </c>
    </row>
    <row r="904" spans="1:2" x14ac:dyDescent="0.35">
      <c r="A904" s="5" t="s">
        <v>5568</v>
      </c>
      <c r="B904" s="3" t="s">
        <v>5569</v>
      </c>
    </row>
    <row r="905" spans="1:2" x14ac:dyDescent="0.35">
      <c r="A905" s="5" t="s">
        <v>5570</v>
      </c>
      <c r="B905" s="3" t="s">
        <v>5571</v>
      </c>
    </row>
    <row r="906" spans="1:2" x14ac:dyDescent="0.35">
      <c r="A906" s="5" t="s">
        <v>5572</v>
      </c>
      <c r="B906" s="3" t="s">
        <v>5573</v>
      </c>
    </row>
    <row r="907" spans="1:2" x14ac:dyDescent="0.35">
      <c r="A907" s="5" t="s">
        <v>5574</v>
      </c>
      <c r="B907" s="3" t="s">
        <v>5575</v>
      </c>
    </row>
    <row r="908" spans="1:2" x14ac:dyDescent="0.35">
      <c r="A908" s="5" t="s">
        <v>5576</v>
      </c>
      <c r="B908" s="3" t="s">
        <v>5577</v>
      </c>
    </row>
    <row r="909" spans="1:2" x14ac:dyDescent="0.35">
      <c r="A909" s="5" t="s">
        <v>5578</v>
      </c>
      <c r="B909" s="3" t="s">
        <v>5579</v>
      </c>
    </row>
    <row r="910" spans="1:2" x14ac:dyDescent="0.35">
      <c r="A910" s="5" t="s">
        <v>5580</v>
      </c>
      <c r="B910" s="3" t="s">
        <v>5581</v>
      </c>
    </row>
    <row r="911" spans="1:2" x14ac:dyDescent="0.35">
      <c r="A911" s="5" t="s">
        <v>5582</v>
      </c>
      <c r="B911" s="3" t="s">
        <v>5583</v>
      </c>
    </row>
    <row r="912" spans="1:2" x14ac:dyDescent="0.35">
      <c r="A912" s="5" t="s">
        <v>5584</v>
      </c>
      <c r="B912" s="3" t="s">
        <v>5585</v>
      </c>
    </row>
    <row r="913" spans="1:2" x14ac:dyDescent="0.35">
      <c r="A913" s="5" t="s">
        <v>5586</v>
      </c>
      <c r="B913" s="3" t="s">
        <v>5587</v>
      </c>
    </row>
    <row r="914" spans="1:2" x14ac:dyDescent="0.35">
      <c r="A914" s="5" t="s">
        <v>5588</v>
      </c>
      <c r="B914" s="3" t="s">
        <v>5589</v>
      </c>
    </row>
    <row r="915" spans="1:2" x14ac:dyDescent="0.35">
      <c r="A915" s="5" t="s">
        <v>5590</v>
      </c>
      <c r="B915" s="3" t="s">
        <v>5591</v>
      </c>
    </row>
    <row r="916" spans="1:2" x14ac:dyDescent="0.35">
      <c r="A916" s="5" t="s">
        <v>5592</v>
      </c>
      <c r="B916" s="3" t="s">
        <v>5593</v>
      </c>
    </row>
    <row r="917" spans="1:2" x14ac:dyDescent="0.35">
      <c r="A917" s="5" t="s">
        <v>5594</v>
      </c>
      <c r="B917" s="3" t="s">
        <v>5595</v>
      </c>
    </row>
    <row r="918" spans="1:2" x14ac:dyDescent="0.35">
      <c r="A918" s="5" t="s">
        <v>5596</v>
      </c>
      <c r="B918" s="3" t="s">
        <v>5597</v>
      </c>
    </row>
    <row r="919" spans="1:2" x14ac:dyDescent="0.35">
      <c r="A919" s="5" t="s">
        <v>5598</v>
      </c>
      <c r="B919" s="3" t="s">
        <v>5599</v>
      </c>
    </row>
    <row r="920" spans="1:2" x14ac:dyDescent="0.35">
      <c r="A920" s="5" t="s">
        <v>5600</v>
      </c>
      <c r="B920" s="3" t="s">
        <v>5601</v>
      </c>
    </row>
    <row r="921" spans="1:2" x14ac:dyDescent="0.35">
      <c r="A921" s="5" t="s">
        <v>5602</v>
      </c>
      <c r="B921" s="3" t="s">
        <v>5603</v>
      </c>
    </row>
    <row r="922" spans="1:2" x14ac:dyDescent="0.35">
      <c r="A922" s="5" t="s">
        <v>5604</v>
      </c>
      <c r="B922" s="3" t="s">
        <v>5605</v>
      </c>
    </row>
    <row r="923" spans="1:2" x14ac:dyDescent="0.35">
      <c r="A923" s="5" t="s">
        <v>5606</v>
      </c>
      <c r="B923" s="3" t="s">
        <v>5607</v>
      </c>
    </row>
    <row r="924" spans="1:2" x14ac:dyDescent="0.35">
      <c r="A924" s="5" t="s">
        <v>5608</v>
      </c>
      <c r="B924" s="3" t="s">
        <v>5609</v>
      </c>
    </row>
    <row r="925" spans="1:2" x14ac:dyDescent="0.35">
      <c r="A925" s="5" t="s">
        <v>5610</v>
      </c>
      <c r="B925" s="3" t="s">
        <v>5611</v>
      </c>
    </row>
    <row r="926" spans="1:2" x14ac:dyDescent="0.35">
      <c r="A926" s="5" t="s">
        <v>5612</v>
      </c>
      <c r="B926" s="3" t="s">
        <v>5613</v>
      </c>
    </row>
    <row r="927" spans="1:2" x14ac:dyDescent="0.35">
      <c r="A927" s="5" t="s">
        <v>5614</v>
      </c>
      <c r="B927" s="3" t="s">
        <v>5615</v>
      </c>
    </row>
    <row r="928" spans="1:2" x14ac:dyDescent="0.35">
      <c r="A928" s="5" t="s">
        <v>5616</v>
      </c>
      <c r="B928" s="3" t="s">
        <v>5617</v>
      </c>
    </row>
    <row r="929" spans="1:2" x14ac:dyDescent="0.35">
      <c r="A929" s="5" t="s">
        <v>5618</v>
      </c>
      <c r="B929" s="3" t="s">
        <v>5619</v>
      </c>
    </row>
    <row r="930" spans="1:2" x14ac:dyDescent="0.35">
      <c r="A930" s="5" t="s">
        <v>5620</v>
      </c>
      <c r="B930" s="3" t="s">
        <v>5621</v>
      </c>
    </row>
    <row r="931" spans="1:2" x14ac:dyDescent="0.35">
      <c r="A931" s="5" t="s">
        <v>5622</v>
      </c>
      <c r="B931" s="3" t="s">
        <v>5623</v>
      </c>
    </row>
    <row r="932" spans="1:2" x14ac:dyDescent="0.35">
      <c r="A932" s="5" t="s">
        <v>5624</v>
      </c>
      <c r="B932" s="3" t="s">
        <v>5625</v>
      </c>
    </row>
    <row r="933" spans="1:2" x14ac:dyDescent="0.35">
      <c r="A933" s="5" t="s">
        <v>5626</v>
      </c>
      <c r="B933" s="3" t="s">
        <v>5627</v>
      </c>
    </row>
    <row r="934" spans="1:2" x14ac:dyDescent="0.35">
      <c r="A934" s="5" t="s">
        <v>5628</v>
      </c>
      <c r="B934" s="3" t="s">
        <v>5629</v>
      </c>
    </row>
    <row r="935" spans="1:2" x14ac:dyDescent="0.35">
      <c r="A935" s="5" t="s">
        <v>5630</v>
      </c>
      <c r="B935" s="3" t="s">
        <v>5631</v>
      </c>
    </row>
    <row r="936" spans="1:2" x14ac:dyDescent="0.35">
      <c r="A936" s="5" t="s">
        <v>5632</v>
      </c>
      <c r="B936" s="3" t="s">
        <v>5633</v>
      </c>
    </row>
    <row r="937" spans="1:2" x14ac:dyDescent="0.35">
      <c r="A937" s="5" t="s">
        <v>5634</v>
      </c>
      <c r="B937" s="3" t="s">
        <v>5635</v>
      </c>
    </row>
    <row r="938" spans="1:2" x14ac:dyDescent="0.35">
      <c r="A938" s="5" t="s">
        <v>5636</v>
      </c>
      <c r="B938" s="3" t="s">
        <v>5637</v>
      </c>
    </row>
    <row r="939" spans="1:2" x14ac:dyDescent="0.35">
      <c r="A939" s="5" t="s">
        <v>5638</v>
      </c>
      <c r="B939" s="3" t="s">
        <v>5639</v>
      </c>
    </row>
    <row r="940" spans="1:2" x14ac:dyDescent="0.35">
      <c r="A940" s="5" t="s">
        <v>5640</v>
      </c>
      <c r="B940" s="3" t="s">
        <v>5641</v>
      </c>
    </row>
    <row r="941" spans="1:2" x14ac:dyDescent="0.35">
      <c r="A941" s="5" t="s">
        <v>5642</v>
      </c>
      <c r="B941" s="3" t="s">
        <v>5643</v>
      </c>
    </row>
    <row r="942" spans="1:2" x14ac:dyDescent="0.35">
      <c r="A942" s="5" t="s">
        <v>5644</v>
      </c>
      <c r="B942" s="3" t="s">
        <v>5645</v>
      </c>
    </row>
    <row r="943" spans="1:2" x14ac:dyDescent="0.35">
      <c r="A943" s="5" t="s">
        <v>5646</v>
      </c>
      <c r="B943" s="3" t="s">
        <v>5647</v>
      </c>
    </row>
    <row r="944" spans="1:2" x14ac:dyDescent="0.35">
      <c r="A944" s="5" t="s">
        <v>5648</v>
      </c>
      <c r="B944" s="3" t="s">
        <v>5649</v>
      </c>
    </row>
    <row r="945" spans="1:2" x14ac:dyDescent="0.35">
      <c r="A945" s="5" t="s">
        <v>5650</v>
      </c>
      <c r="B945" s="3" t="s">
        <v>5651</v>
      </c>
    </row>
    <row r="946" spans="1:2" x14ac:dyDescent="0.35">
      <c r="A946" s="5" t="s">
        <v>5652</v>
      </c>
      <c r="B946" s="3" t="s">
        <v>5653</v>
      </c>
    </row>
    <row r="947" spans="1:2" x14ac:dyDescent="0.35">
      <c r="A947" s="5" t="s">
        <v>5654</v>
      </c>
      <c r="B947" s="3" t="s">
        <v>5655</v>
      </c>
    </row>
    <row r="948" spans="1:2" x14ac:dyDescent="0.35">
      <c r="A948" s="5" t="s">
        <v>5656</v>
      </c>
      <c r="B948" s="3" t="s">
        <v>5657</v>
      </c>
    </row>
    <row r="949" spans="1:2" x14ac:dyDescent="0.35">
      <c r="A949" s="5" t="s">
        <v>5658</v>
      </c>
      <c r="B949" s="3" t="s">
        <v>5659</v>
      </c>
    </row>
    <row r="950" spans="1:2" x14ac:dyDescent="0.35">
      <c r="A950" s="5" t="s">
        <v>5660</v>
      </c>
      <c r="B950" s="3" t="s">
        <v>5661</v>
      </c>
    </row>
    <row r="951" spans="1:2" x14ac:dyDescent="0.35">
      <c r="A951" s="5" t="s">
        <v>5662</v>
      </c>
      <c r="B951" s="3" t="s">
        <v>5663</v>
      </c>
    </row>
    <row r="952" spans="1:2" x14ac:dyDescent="0.35">
      <c r="A952" s="5" t="s">
        <v>5664</v>
      </c>
      <c r="B952" s="3" t="s">
        <v>5665</v>
      </c>
    </row>
    <row r="953" spans="1:2" x14ac:dyDescent="0.35">
      <c r="A953" s="5" t="s">
        <v>5666</v>
      </c>
      <c r="B953" s="3" t="s">
        <v>5667</v>
      </c>
    </row>
    <row r="954" spans="1:2" x14ac:dyDescent="0.35">
      <c r="A954" s="5" t="s">
        <v>5668</v>
      </c>
      <c r="B954" s="3" t="s">
        <v>5669</v>
      </c>
    </row>
    <row r="955" spans="1:2" x14ac:dyDescent="0.35">
      <c r="A955" s="5" t="s">
        <v>5670</v>
      </c>
      <c r="B955" s="3" t="s">
        <v>5671</v>
      </c>
    </row>
    <row r="956" spans="1:2" x14ac:dyDescent="0.35">
      <c r="A956" s="5" t="s">
        <v>5672</v>
      </c>
      <c r="B956" s="3" t="s">
        <v>5673</v>
      </c>
    </row>
    <row r="957" spans="1:2" x14ac:dyDescent="0.35">
      <c r="A957" s="5" t="s">
        <v>5674</v>
      </c>
      <c r="B957" s="3" t="s">
        <v>5675</v>
      </c>
    </row>
    <row r="958" spans="1:2" x14ac:dyDescent="0.35">
      <c r="A958" s="5" t="s">
        <v>5676</v>
      </c>
      <c r="B958" s="3" t="s">
        <v>5677</v>
      </c>
    </row>
    <row r="959" spans="1:2" x14ac:dyDescent="0.35">
      <c r="A959" s="5" t="s">
        <v>5678</v>
      </c>
      <c r="B959" s="3" t="s">
        <v>5679</v>
      </c>
    </row>
    <row r="960" spans="1:2" x14ac:dyDescent="0.35">
      <c r="A960" s="5" t="s">
        <v>5680</v>
      </c>
      <c r="B960" s="3" t="s">
        <v>5681</v>
      </c>
    </row>
    <row r="961" spans="1:2" x14ac:dyDescent="0.35">
      <c r="A961" s="5" t="s">
        <v>5682</v>
      </c>
      <c r="B961" s="3" t="s">
        <v>5683</v>
      </c>
    </row>
    <row r="962" spans="1:2" x14ac:dyDescent="0.35">
      <c r="A962" s="5" t="s">
        <v>5684</v>
      </c>
      <c r="B962" s="3" t="s">
        <v>5685</v>
      </c>
    </row>
    <row r="963" spans="1:2" x14ac:dyDescent="0.35">
      <c r="A963" s="5" t="s">
        <v>5686</v>
      </c>
      <c r="B963" s="3" t="s">
        <v>5687</v>
      </c>
    </row>
    <row r="964" spans="1:2" x14ac:dyDescent="0.35">
      <c r="A964" s="5" t="s">
        <v>5688</v>
      </c>
      <c r="B964" s="3" t="s">
        <v>5689</v>
      </c>
    </row>
    <row r="965" spans="1:2" x14ac:dyDescent="0.35">
      <c r="A965" s="5" t="s">
        <v>5690</v>
      </c>
      <c r="B965" s="3" t="s">
        <v>5691</v>
      </c>
    </row>
    <row r="966" spans="1:2" x14ac:dyDescent="0.35">
      <c r="A966" s="5" t="s">
        <v>5692</v>
      </c>
      <c r="B966" s="3" t="s">
        <v>5693</v>
      </c>
    </row>
    <row r="967" spans="1:2" x14ac:dyDescent="0.35">
      <c r="A967" s="5" t="s">
        <v>5694</v>
      </c>
      <c r="B967" s="3" t="s">
        <v>5695</v>
      </c>
    </row>
    <row r="968" spans="1:2" x14ac:dyDescent="0.35">
      <c r="A968" s="5" t="s">
        <v>5696</v>
      </c>
      <c r="B968" s="3" t="s">
        <v>5697</v>
      </c>
    </row>
    <row r="969" spans="1:2" x14ac:dyDescent="0.35">
      <c r="A969" s="5" t="s">
        <v>5698</v>
      </c>
      <c r="B969" s="3" t="s">
        <v>5699</v>
      </c>
    </row>
    <row r="970" spans="1:2" x14ac:dyDescent="0.35">
      <c r="A970" s="5" t="s">
        <v>5700</v>
      </c>
      <c r="B970" s="3" t="s">
        <v>5701</v>
      </c>
    </row>
    <row r="971" spans="1:2" x14ac:dyDescent="0.35">
      <c r="A971" s="5" t="s">
        <v>5702</v>
      </c>
      <c r="B971" s="3" t="s">
        <v>5703</v>
      </c>
    </row>
    <row r="972" spans="1:2" x14ac:dyDescent="0.35">
      <c r="A972" s="5" t="s">
        <v>5704</v>
      </c>
      <c r="B972" s="3" t="s">
        <v>5705</v>
      </c>
    </row>
    <row r="973" spans="1:2" x14ac:dyDescent="0.35">
      <c r="A973" s="5" t="s">
        <v>5706</v>
      </c>
      <c r="B973" s="3" t="s">
        <v>5707</v>
      </c>
    </row>
    <row r="974" spans="1:2" x14ac:dyDescent="0.35">
      <c r="A974" s="5" t="s">
        <v>5708</v>
      </c>
      <c r="B974" s="3" t="s">
        <v>5709</v>
      </c>
    </row>
    <row r="975" spans="1:2" x14ac:dyDescent="0.35">
      <c r="A975" s="5" t="s">
        <v>5710</v>
      </c>
      <c r="B975" s="3" t="s">
        <v>5711</v>
      </c>
    </row>
    <row r="976" spans="1:2" x14ac:dyDescent="0.35">
      <c r="A976" s="5" t="s">
        <v>5712</v>
      </c>
      <c r="B976" s="3" t="s">
        <v>5713</v>
      </c>
    </row>
    <row r="977" spans="1:2" x14ac:dyDescent="0.35">
      <c r="A977" s="5" t="s">
        <v>5714</v>
      </c>
      <c r="B977" s="3" t="s">
        <v>5715</v>
      </c>
    </row>
    <row r="978" spans="1:2" x14ac:dyDescent="0.35">
      <c r="A978" s="5" t="s">
        <v>5716</v>
      </c>
      <c r="B978" s="3" t="s">
        <v>5717</v>
      </c>
    </row>
    <row r="979" spans="1:2" x14ac:dyDescent="0.35">
      <c r="A979" s="5" t="s">
        <v>5718</v>
      </c>
      <c r="B979" s="3" t="s">
        <v>5719</v>
      </c>
    </row>
    <row r="980" spans="1:2" x14ac:dyDescent="0.35">
      <c r="A980" s="5" t="s">
        <v>5720</v>
      </c>
      <c r="B980" s="3" t="s">
        <v>5721</v>
      </c>
    </row>
    <row r="981" spans="1:2" x14ac:dyDescent="0.35">
      <c r="A981" s="5" t="s">
        <v>5722</v>
      </c>
      <c r="B981" s="3" t="s">
        <v>5723</v>
      </c>
    </row>
    <row r="982" spans="1:2" x14ac:dyDescent="0.35">
      <c r="A982" s="5" t="s">
        <v>5724</v>
      </c>
      <c r="B982" s="3" t="s">
        <v>5725</v>
      </c>
    </row>
    <row r="983" spans="1:2" x14ac:dyDescent="0.35">
      <c r="A983" s="5" t="s">
        <v>5726</v>
      </c>
      <c r="B983" s="3" t="s">
        <v>5727</v>
      </c>
    </row>
    <row r="984" spans="1:2" x14ac:dyDescent="0.35">
      <c r="A984" s="5" t="s">
        <v>5728</v>
      </c>
      <c r="B984" s="3" t="s">
        <v>5729</v>
      </c>
    </row>
    <row r="985" spans="1:2" x14ac:dyDescent="0.35">
      <c r="A985" s="5" t="s">
        <v>5730</v>
      </c>
      <c r="B985" s="3" t="s">
        <v>5731</v>
      </c>
    </row>
    <row r="986" spans="1:2" x14ac:dyDescent="0.35">
      <c r="A986" s="5" t="s">
        <v>5732</v>
      </c>
      <c r="B986" s="3" t="s">
        <v>5733</v>
      </c>
    </row>
    <row r="987" spans="1:2" x14ac:dyDescent="0.35">
      <c r="A987" s="5" t="s">
        <v>5734</v>
      </c>
      <c r="B987" s="3" t="s">
        <v>5735</v>
      </c>
    </row>
    <row r="988" spans="1:2" x14ac:dyDescent="0.35">
      <c r="A988" s="5" t="s">
        <v>5736</v>
      </c>
      <c r="B988" s="3" t="s">
        <v>5737</v>
      </c>
    </row>
    <row r="989" spans="1:2" x14ac:dyDescent="0.35">
      <c r="A989" s="5" t="s">
        <v>5738</v>
      </c>
      <c r="B989" s="3" t="s">
        <v>5739</v>
      </c>
    </row>
    <row r="990" spans="1:2" x14ac:dyDescent="0.35">
      <c r="A990" s="5" t="s">
        <v>5740</v>
      </c>
      <c r="B990" s="3" t="s">
        <v>5741</v>
      </c>
    </row>
    <row r="991" spans="1:2" x14ac:dyDescent="0.35">
      <c r="A991" s="5" t="s">
        <v>5742</v>
      </c>
      <c r="B991" s="3" t="s">
        <v>5743</v>
      </c>
    </row>
    <row r="992" spans="1:2" x14ac:dyDescent="0.35">
      <c r="A992" s="5" t="s">
        <v>5744</v>
      </c>
      <c r="B992" s="3" t="s">
        <v>5745</v>
      </c>
    </row>
    <row r="993" spans="1:2" x14ac:dyDescent="0.35">
      <c r="A993" s="5" t="s">
        <v>5746</v>
      </c>
      <c r="B993" s="3" t="s">
        <v>5747</v>
      </c>
    </row>
    <row r="994" spans="1:2" x14ac:dyDescent="0.35">
      <c r="A994" s="5" t="s">
        <v>5748</v>
      </c>
      <c r="B994" s="3" t="s">
        <v>5749</v>
      </c>
    </row>
    <row r="995" spans="1:2" x14ac:dyDescent="0.35">
      <c r="A995" s="5" t="s">
        <v>5750</v>
      </c>
      <c r="B995" s="3" t="s">
        <v>5751</v>
      </c>
    </row>
    <row r="996" spans="1:2" x14ac:dyDescent="0.35">
      <c r="A996" s="5" t="s">
        <v>5752</v>
      </c>
      <c r="B996" s="3" t="s">
        <v>5753</v>
      </c>
    </row>
    <row r="997" spans="1:2" x14ac:dyDescent="0.35">
      <c r="A997" s="5" t="s">
        <v>5754</v>
      </c>
      <c r="B997" s="3" t="s">
        <v>5755</v>
      </c>
    </row>
    <row r="998" spans="1:2" x14ac:dyDescent="0.35">
      <c r="A998" s="5" t="s">
        <v>5756</v>
      </c>
      <c r="B998" s="3" t="s">
        <v>5757</v>
      </c>
    </row>
    <row r="999" spans="1:2" x14ac:dyDescent="0.35">
      <c r="A999" s="5" t="s">
        <v>5758</v>
      </c>
      <c r="B999" s="3" t="s">
        <v>5759</v>
      </c>
    </row>
    <row r="1000" spans="1:2" x14ac:dyDescent="0.35">
      <c r="A1000" s="5" t="s">
        <v>5760</v>
      </c>
      <c r="B1000" s="3" t="s">
        <v>5761</v>
      </c>
    </row>
    <row r="1001" spans="1:2" x14ac:dyDescent="0.35">
      <c r="A1001" s="5" t="s">
        <v>5762</v>
      </c>
      <c r="B1001" s="3" t="s">
        <v>5763</v>
      </c>
    </row>
    <row r="1002" spans="1:2" x14ac:dyDescent="0.35">
      <c r="A1002" s="5" t="s">
        <v>5764</v>
      </c>
      <c r="B1002" s="3" t="s">
        <v>5765</v>
      </c>
    </row>
    <row r="1003" spans="1:2" x14ac:dyDescent="0.35">
      <c r="A1003" s="5" t="s">
        <v>5766</v>
      </c>
      <c r="B1003" s="3" t="s">
        <v>5767</v>
      </c>
    </row>
    <row r="1004" spans="1:2" x14ac:dyDescent="0.35">
      <c r="A1004" s="5" t="s">
        <v>5768</v>
      </c>
      <c r="B1004" s="3" t="s">
        <v>5769</v>
      </c>
    </row>
    <row r="1005" spans="1:2" x14ac:dyDescent="0.35">
      <c r="A1005" s="5" t="s">
        <v>5770</v>
      </c>
      <c r="B1005" s="3" t="s">
        <v>5771</v>
      </c>
    </row>
    <row r="1006" spans="1:2" x14ac:dyDescent="0.35">
      <c r="A1006" s="5" t="s">
        <v>5772</v>
      </c>
      <c r="B1006" s="3" t="s">
        <v>5773</v>
      </c>
    </row>
    <row r="1007" spans="1:2" x14ac:dyDescent="0.35">
      <c r="A1007" s="5" t="s">
        <v>5774</v>
      </c>
      <c r="B1007" s="3" t="s">
        <v>5775</v>
      </c>
    </row>
    <row r="1008" spans="1:2" x14ac:dyDescent="0.35">
      <c r="A1008" s="5" t="s">
        <v>5776</v>
      </c>
      <c r="B1008" s="3" t="s">
        <v>5777</v>
      </c>
    </row>
    <row r="1009" spans="1:2" x14ac:dyDescent="0.35">
      <c r="A1009" s="5" t="s">
        <v>5778</v>
      </c>
      <c r="B1009" s="3" t="s">
        <v>5779</v>
      </c>
    </row>
    <row r="1010" spans="1:2" x14ac:dyDescent="0.35">
      <c r="A1010" s="5" t="s">
        <v>5780</v>
      </c>
      <c r="B1010" s="3" t="s">
        <v>5781</v>
      </c>
    </row>
    <row r="1011" spans="1:2" x14ac:dyDescent="0.35">
      <c r="A1011" s="5" t="s">
        <v>5782</v>
      </c>
      <c r="B1011" s="3" t="s">
        <v>5783</v>
      </c>
    </row>
    <row r="1012" spans="1:2" x14ac:dyDescent="0.35">
      <c r="A1012" s="5" t="s">
        <v>5784</v>
      </c>
      <c r="B1012" s="3" t="s">
        <v>5785</v>
      </c>
    </row>
    <row r="1013" spans="1:2" x14ac:dyDescent="0.35">
      <c r="A1013" s="5" t="s">
        <v>5786</v>
      </c>
      <c r="B1013" s="3" t="s">
        <v>5787</v>
      </c>
    </row>
    <row r="1014" spans="1:2" x14ac:dyDescent="0.35">
      <c r="A1014" s="5" t="s">
        <v>5788</v>
      </c>
      <c r="B1014" s="3" t="s">
        <v>5789</v>
      </c>
    </row>
    <row r="1015" spans="1:2" x14ac:dyDescent="0.35">
      <c r="A1015" s="5" t="s">
        <v>5790</v>
      </c>
      <c r="B1015" s="3" t="s">
        <v>5791</v>
      </c>
    </row>
    <row r="1016" spans="1:2" x14ac:dyDescent="0.35">
      <c r="A1016" s="5" t="s">
        <v>5792</v>
      </c>
      <c r="B1016" s="3" t="s">
        <v>5793</v>
      </c>
    </row>
    <row r="1017" spans="1:2" x14ac:dyDescent="0.35">
      <c r="A1017" s="5" t="s">
        <v>5794</v>
      </c>
      <c r="B1017" s="3" t="s">
        <v>5795</v>
      </c>
    </row>
    <row r="1018" spans="1:2" x14ac:dyDescent="0.35">
      <c r="A1018" s="5" t="s">
        <v>5796</v>
      </c>
      <c r="B1018" s="3" t="s">
        <v>5797</v>
      </c>
    </row>
    <row r="1019" spans="1:2" x14ac:dyDescent="0.35">
      <c r="A1019" s="5" t="s">
        <v>5798</v>
      </c>
      <c r="B1019" s="3" t="s">
        <v>5799</v>
      </c>
    </row>
    <row r="1020" spans="1:2" x14ac:dyDescent="0.35">
      <c r="A1020" s="5" t="s">
        <v>5800</v>
      </c>
      <c r="B1020" s="3" t="s">
        <v>5801</v>
      </c>
    </row>
    <row r="1021" spans="1:2" x14ac:dyDescent="0.35">
      <c r="A1021" s="5" t="s">
        <v>5802</v>
      </c>
      <c r="B1021" s="3" t="s">
        <v>5803</v>
      </c>
    </row>
    <row r="1022" spans="1:2" x14ac:dyDescent="0.35">
      <c r="A1022" s="5" t="s">
        <v>5804</v>
      </c>
      <c r="B1022" s="3" t="s">
        <v>5805</v>
      </c>
    </row>
    <row r="1023" spans="1:2" x14ac:dyDescent="0.35">
      <c r="A1023" s="5" t="s">
        <v>5806</v>
      </c>
      <c r="B1023" s="3" t="s">
        <v>5807</v>
      </c>
    </row>
    <row r="1024" spans="1:2" x14ac:dyDescent="0.35">
      <c r="A1024" s="5" t="s">
        <v>5808</v>
      </c>
      <c r="B1024" s="3" t="s">
        <v>5809</v>
      </c>
    </row>
    <row r="1025" spans="1:2" x14ac:dyDescent="0.35">
      <c r="A1025" s="5" t="s">
        <v>5810</v>
      </c>
      <c r="B1025" s="3" t="s">
        <v>5811</v>
      </c>
    </row>
    <row r="1026" spans="1:2" x14ac:dyDescent="0.35">
      <c r="A1026" s="5" t="s">
        <v>5812</v>
      </c>
      <c r="B1026" s="3" t="s">
        <v>5813</v>
      </c>
    </row>
    <row r="1027" spans="1:2" x14ac:dyDescent="0.35">
      <c r="A1027" s="5" t="s">
        <v>5814</v>
      </c>
      <c r="B1027" s="3" t="s">
        <v>5815</v>
      </c>
    </row>
    <row r="1028" spans="1:2" x14ac:dyDescent="0.35">
      <c r="A1028" s="5" t="s">
        <v>5816</v>
      </c>
      <c r="B1028" s="3" t="s">
        <v>5817</v>
      </c>
    </row>
    <row r="1029" spans="1:2" x14ac:dyDescent="0.35">
      <c r="A1029" s="5" t="s">
        <v>5818</v>
      </c>
      <c r="B1029" s="3" t="s">
        <v>5819</v>
      </c>
    </row>
    <row r="1030" spans="1:2" x14ac:dyDescent="0.35">
      <c r="A1030" s="5" t="s">
        <v>5820</v>
      </c>
      <c r="B1030" s="3" t="s">
        <v>5821</v>
      </c>
    </row>
    <row r="1031" spans="1:2" x14ac:dyDescent="0.35">
      <c r="A1031" s="5" t="s">
        <v>5822</v>
      </c>
      <c r="B1031" s="3" t="s">
        <v>5823</v>
      </c>
    </row>
    <row r="1032" spans="1:2" x14ac:dyDescent="0.35">
      <c r="A1032" s="5" t="s">
        <v>5824</v>
      </c>
      <c r="B1032" s="3" t="s">
        <v>5825</v>
      </c>
    </row>
    <row r="1033" spans="1:2" x14ac:dyDescent="0.35">
      <c r="A1033" s="5" t="s">
        <v>5826</v>
      </c>
      <c r="B1033" s="3" t="s">
        <v>5827</v>
      </c>
    </row>
    <row r="1034" spans="1:2" x14ac:dyDescent="0.35">
      <c r="A1034" s="5" t="s">
        <v>5828</v>
      </c>
      <c r="B1034" s="3" t="s">
        <v>5829</v>
      </c>
    </row>
    <row r="1035" spans="1:2" x14ac:dyDescent="0.35">
      <c r="A1035" s="5" t="s">
        <v>5830</v>
      </c>
      <c r="B1035" s="3" t="s">
        <v>5831</v>
      </c>
    </row>
    <row r="1036" spans="1:2" x14ac:dyDescent="0.35">
      <c r="A1036" s="5" t="s">
        <v>5832</v>
      </c>
      <c r="B1036" s="3" t="s">
        <v>5833</v>
      </c>
    </row>
    <row r="1037" spans="1:2" x14ac:dyDescent="0.35">
      <c r="A1037" s="5" t="s">
        <v>5834</v>
      </c>
      <c r="B1037" s="3" t="s">
        <v>5835</v>
      </c>
    </row>
    <row r="1038" spans="1:2" x14ac:dyDescent="0.35">
      <c r="A1038" s="5" t="s">
        <v>5836</v>
      </c>
      <c r="B1038" s="3" t="s">
        <v>5837</v>
      </c>
    </row>
    <row r="1039" spans="1:2" x14ac:dyDescent="0.35">
      <c r="A1039" s="5" t="s">
        <v>5838</v>
      </c>
      <c r="B1039" s="3" t="s">
        <v>5839</v>
      </c>
    </row>
    <row r="1040" spans="1:2" x14ac:dyDescent="0.35">
      <c r="A1040" s="5" t="s">
        <v>5840</v>
      </c>
      <c r="B1040" s="3" t="s">
        <v>5841</v>
      </c>
    </row>
    <row r="1041" spans="1:2" x14ac:dyDescent="0.35">
      <c r="A1041" s="5" t="s">
        <v>5842</v>
      </c>
      <c r="B1041" s="3" t="s">
        <v>5843</v>
      </c>
    </row>
    <row r="1042" spans="1:2" x14ac:dyDescent="0.35">
      <c r="A1042" s="5" t="s">
        <v>5844</v>
      </c>
      <c r="B1042" s="3" t="s">
        <v>5845</v>
      </c>
    </row>
    <row r="1043" spans="1:2" x14ac:dyDescent="0.35">
      <c r="A1043" s="5" t="s">
        <v>5846</v>
      </c>
      <c r="B1043" s="3" t="s">
        <v>5847</v>
      </c>
    </row>
    <row r="1044" spans="1:2" x14ac:dyDescent="0.35">
      <c r="A1044" s="5" t="s">
        <v>5848</v>
      </c>
      <c r="B1044" s="3" t="s">
        <v>5849</v>
      </c>
    </row>
    <row r="1045" spans="1:2" x14ac:dyDescent="0.35">
      <c r="A1045" s="5" t="s">
        <v>5850</v>
      </c>
      <c r="B1045" s="3" t="s">
        <v>5851</v>
      </c>
    </row>
    <row r="1046" spans="1:2" x14ac:dyDescent="0.35">
      <c r="A1046" s="5" t="s">
        <v>5852</v>
      </c>
      <c r="B1046" s="3" t="s">
        <v>5853</v>
      </c>
    </row>
    <row r="1047" spans="1:2" x14ac:dyDescent="0.35">
      <c r="A1047" s="5" t="s">
        <v>5854</v>
      </c>
      <c r="B1047" s="3" t="s">
        <v>5855</v>
      </c>
    </row>
    <row r="1048" spans="1:2" x14ac:dyDescent="0.35">
      <c r="A1048" s="5" t="s">
        <v>5856</v>
      </c>
      <c r="B1048" s="3" t="s">
        <v>5857</v>
      </c>
    </row>
    <row r="1049" spans="1:2" x14ac:dyDescent="0.35">
      <c r="A1049" s="5" t="s">
        <v>5858</v>
      </c>
      <c r="B1049" s="3" t="s">
        <v>5859</v>
      </c>
    </row>
    <row r="1050" spans="1:2" x14ac:dyDescent="0.35">
      <c r="A1050" s="5" t="s">
        <v>5860</v>
      </c>
      <c r="B1050" s="3" t="s">
        <v>5861</v>
      </c>
    </row>
    <row r="1051" spans="1:2" x14ac:dyDescent="0.35">
      <c r="A1051" s="5" t="s">
        <v>5862</v>
      </c>
      <c r="B1051" s="3" t="s">
        <v>5863</v>
      </c>
    </row>
    <row r="1052" spans="1:2" x14ac:dyDescent="0.35">
      <c r="A1052" s="5" t="s">
        <v>5864</v>
      </c>
      <c r="B1052" s="3" t="s">
        <v>5865</v>
      </c>
    </row>
    <row r="1053" spans="1:2" x14ac:dyDescent="0.35">
      <c r="A1053" s="5" t="s">
        <v>5866</v>
      </c>
      <c r="B1053" s="3" t="s">
        <v>5867</v>
      </c>
    </row>
    <row r="1054" spans="1:2" x14ac:dyDescent="0.35">
      <c r="A1054" s="5" t="s">
        <v>5868</v>
      </c>
      <c r="B1054" s="3" t="s">
        <v>5869</v>
      </c>
    </row>
    <row r="1055" spans="1:2" x14ac:dyDescent="0.35">
      <c r="A1055" s="5" t="s">
        <v>5870</v>
      </c>
      <c r="B1055" s="3" t="s">
        <v>5871</v>
      </c>
    </row>
    <row r="1056" spans="1:2" x14ac:dyDescent="0.35">
      <c r="A1056" s="5" t="s">
        <v>5872</v>
      </c>
      <c r="B1056" s="3" t="s">
        <v>5873</v>
      </c>
    </row>
    <row r="1057" spans="1:2" x14ac:dyDescent="0.35">
      <c r="A1057" s="5" t="s">
        <v>5874</v>
      </c>
      <c r="B1057" s="3" t="s">
        <v>5875</v>
      </c>
    </row>
    <row r="1058" spans="1:2" x14ac:dyDescent="0.35">
      <c r="A1058" s="5" t="s">
        <v>5876</v>
      </c>
      <c r="B1058" s="3" t="s">
        <v>5877</v>
      </c>
    </row>
    <row r="1059" spans="1:2" x14ac:dyDescent="0.35">
      <c r="A1059" s="5" t="s">
        <v>5878</v>
      </c>
      <c r="B1059" s="3" t="s">
        <v>5879</v>
      </c>
    </row>
    <row r="1060" spans="1:2" x14ac:dyDescent="0.35">
      <c r="A1060" s="5" t="s">
        <v>5880</v>
      </c>
      <c r="B1060" s="3" t="s">
        <v>5881</v>
      </c>
    </row>
    <row r="1061" spans="1:2" x14ac:dyDescent="0.35">
      <c r="A1061" s="5" t="s">
        <v>5882</v>
      </c>
      <c r="B1061" s="3" t="s">
        <v>5883</v>
      </c>
    </row>
    <row r="1062" spans="1:2" x14ac:dyDescent="0.35">
      <c r="A1062" s="5" t="s">
        <v>5884</v>
      </c>
      <c r="B1062" s="3" t="s">
        <v>5885</v>
      </c>
    </row>
    <row r="1063" spans="1:2" x14ac:dyDescent="0.35">
      <c r="A1063" s="5" t="s">
        <v>5886</v>
      </c>
      <c r="B1063" s="3" t="s">
        <v>5887</v>
      </c>
    </row>
    <row r="1064" spans="1:2" x14ac:dyDescent="0.35">
      <c r="A1064" s="5" t="s">
        <v>5888</v>
      </c>
      <c r="B1064" s="3" t="s">
        <v>5889</v>
      </c>
    </row>
    <row r="1065" spans="1:2" x14ac:dyDescent="0.35">
      <c r="A1065" s="5" t="s">
        <v>5890</v>
      </c>
      <c r="B1065" s="3" t="s">
        <v>5891</v>
      </c>
    </row>
    <row r="1066" spans="1:2" x14ac:dyDescent="0.35">
      <c r="A1066" s="5" t="s">
        <v>5892</v>
      </c>
      <c r="B1066" s="3" t="s">
        <v>5893</v>
      </c>
    </row>
    <row r="1067" spans="1:2" x14ac:dyDescent="0.35">
      <c r="A1067" s="5" t="s">
        <v>5894</v>
      </c>
      <c r="B1067" s="3" t="s">
        <v>5895</v>
      </c>
    </row>
    <row r="1068" spans="1:2" x14ac:dyDescent="0.35">
      <c r="A1068" s="5" t="s">
        <v>5896</v>
      </c>
      <c r="B1068" s="3" t="s">
        <v>5897</v>
      </c>
    </row>
    <row r="1069" spans="1:2" x14ac:dyDescent="0.35">
      <c r="A1069" s="5" t="s">
        <v>5898</v>
      </c>
      <c r="B1069" s="3" t="s">
        <v>5899</v>
      </c>
    </row>
    <row r="1070" spans="1:2" x14ac:dyDescent="0.35">
      <c r="A1070" s="5" t="s">
        <v>5900</v>
      </c>
      <c r="B1070" s="3" t="s">
        <v>5901</v>
      </c>
    </row>
    <row r="1071" spans="1:2" x14ac:dyDescent="0.35">
      <c r="A1071" s="5" t="s">
        <v>5902</v>
      </c>
      <c r="B1071" s="3" t="s">
        <v>5903</v>
      </c>
    </row>
    <row r="1072" spans="1:2" x14ac:dyDescent="0.35">
      <c r="A1072" s="5" t="s">
        <v>5904</v>
      </c>
      <c r="B1072" s="3" t="s">
        <v>5905</v>
      </c>
    </row>
    <row r="1073" spans="1:2" x14ac:dyDescent="0.35">
      <c r="A1073" s="5" t="s">
        <v>5906</v>
      </c>
      <c r="B1073" s="3" t="s">
        <v>5907</v>
      </c>
    </row>
    <row r="1074" spans="1:2" x14ac:dyDescent="0.35">
      <c r="A1074" s="5" t="s">
        <v>5908</v>
      </c>
      <c r="B1074" s="3" t="s">
        <v>5909</v>
      </c>
    </row>
    <row r="1075" spans="1:2" x14ac:dyDescent="0.35">
      <c r="A1075" s="5" t="s">
        <v>5910</v>
      </c>
      <c r="B1075" s="3" t="s">
        <v>5911</v>
      </c>
    </row>
    <row r="1076" spans="1:2" x14ac:dyDescent="0.35">
      <c r="A1076" s="5" t="s">
        <v>5912</v>
      </c>
      <c r="B1076" s="3" t="s">
        <v>5913</v>
      </c>
    </row>
    <row r="1077" spans="1:2" x14ac:dyDescent="0.35">
      <c r="A1077" s="5" t="s">
        <v>5914</v>
      </c>
      <c r="B1077" s="3" t="s">
        <v>5915</v>
      </c>
    </row>
    <row r="1078" spans="1:2" x14ac:dyDescent="0.35">
      <c r="A1078" s="5" t="s">
        <v>5916</v>
      </c>
      <c r="B1078" s="3" t="s">
        <v>5917</v>
      </c>
    </row>
    <row r="1079" spans="1:2" x14ac:dyDescent="0.35">
      <c r="A1079" s="5" t="s">
        <v>5918</v>
      </c>
      <c r="B1079" s="3" t="s">
        <v>5919</v>
      </c>
    </row>
    <row r="1080" spans="1:2" x14ac:dyDescent="0.35">
      <c r="A1080" s="5" t="s">
        <v>5920</v>
      </c>
      <c r="B1080" s="3" t="s">
        <v>5921</v>
      </c>
    </row>
    <row r="1081" spans="1:2" x14ac:dyDescent="0.35">
      <c r="A1081" s="5" t="s">
        <v>5922</v>
      </c>
      <c r="B1081" s="3" t="s">
        <v>5923</v>
      </c>
    </row>
    <row r="1082" spans="1:2" x14ac:dyDescent="0.35">
      <c r="A1082" s="5" t="s">
        <v>5924</v>
      </c>
      <c r="B1082" s="3" t="s">
        <v>5925</v>
      </c>
    </row>
    <row r="1083" spans="1:2" x14ac:dyDescent="0.35">
      <c r="A1083" s="5" t="s">
        <v>5926</v>
      </c>
      <c r="B1083" s="3" t="s">
        <v>5927</v>
      </c>
    </row>
    <row r="1084" spans="1:2" x14ac:dyDescent="0.35">
      <c r="A1084" s="5" t="s">
        <v>5928</v>
      </c>
      <c r="B1084" s="3" t="s">
        <v>5929</v>
      </c>
    </row>
    <row r="1085" spans="1:2" x14ac:dyDescent="0.35">
      <c r="A1085" s="5" t="s">
        <v>5930</v>
      </c>
      <c r="B1085" s="3" t="s">
        <v>5931</v>
      </c>
    </row>
    <row r="1086" spans="1:2" x14ac:dyDescent="0.35">
      <c r="A1086" s="5" t="s">
        <v>5932</v>
      </c>
      <c r="B1086" s="3" t="s">
        <v>5933</v>
      </c>
    </row>
    <row r="1087" spans="1:2" x14ac:dyDescent="0.35">
      <c r="A1087" s="5" t="s">
        <v>5934</v>
      </c>
      <c r="B1087" s="3" t="s">
        <v>5935</v>
      </c>
    </row>
    <row r="1088" spans="1:2" x14ac:dyDescent="0.35">
      <c r="A1088" s="5" t="s">
        <v>5936</v>
      </c>
      <c r="B1088" s="3" t="s">
        <v>5937</v>
      </c>
    </row>
    <row r="1089" spans="1:2" x14ac:dyDescent="0.35">
      <c r="A1089" s="5" t="s">
        <v>5938</v>
      </c>
      <c r="B1089" s="3" t="s">
        <v>5939</v>
      </c>
    </row>
    <row r="1090" spans="1:2" x14ac:dyDescent="0.35">
      <c r="A1090" s="5" t="s">
        <v>5940</v>
      </c>
      <c r="B1090" s="3" t="s">
        <v>5941</v>
      </c>
    </row>
    <row r="1091" spans="1:2" x14ac:dyDescent="0.35">
      <c r="A1091" s="5" t="s">
        <v>5942</v>
      </c>
      <c r="B1091" s="3" t="s">
        <v>5943</v>
      </c>
    </row>
    <row r="1092" spans="1:2" x14ac:dyDescent="0.35">
      <c r="A1092" s="5" t="s">
        <v>5944</v>
      </c>
      <c r="B1092" s="3" t="s">
        <v>5945</v>
      </c>
    </row>
    <row r="1093" spans="1:2" x14ac:dyDescent="0.35">
      <c r="A1093" s="5" t="s">
        <v>5946</v>
      </c>
      <c r="B1093" s="3" t="s">
        <v>5947</v>
      </c>
    </row>
    <row r="1094" spans="1:2" x14ac:dyDescent="0.35">
      <c r="A1094" s="5" t="s">
        <v>5948</v>
      </c>
      <c r="B1094" s="3" t="s">
        <v>5949</v>
      </c>
    </row>
    <row r="1095" spans="1:2" x14ac:dyDescent="0.35">
      <c r="A1095" s="5" t="s">
        <v>5950</v>
      </c>
      <c r="B1095" s="3" t="s">
        <v>5951</v>
      </c>
    </row>
    <row r="1096" spans="1:2" x14ac:dyDescent="0.35">
      <c r="A1096" s="5" t="s">
        <v>5952</v>
      </c>
      <c r="B1096" s="3" t="s">
        <v>5953</v>
      </c>
    </row>
    <row r="1097" spans="1:2" x14ac:dyDescent="0.35">
      <c r="A1097" s="5" t="s">
        <v>5954</v>
      </c>
      <c r="B1097" s="3" t="s">
        <v>5955</v>
      </c>
    </row>
    <row r="1098" spans="1:2" x14ac:dyDescent="0.35">
      <c r="A1098" s="5" t="s">
        <v>5956</v>
      </c>
      <c r="B1098" s="3" t="s">
        <v>5957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A434-849D-4175-9A88-F8B446D03FAA}">
  <dimension ref="A1:H7"/>
  <sheetViews>
    <sheetView workbookViewId="0">
      <selection activeCell="H7" sqref="H7"/>
    </sheetView>
  </sheetViews>
  <sheetFormatPr defaultRowHeight="14.5" x14ac:dyDescent="0.35"/>
  <cols>
    <col min="1" max="1" width="23.81640625" bestFit="1" customWidth="1"/>
    <col min="2" max="2" width="27.1796875" bestFit="1" customWidth="1"/>
    <col min="3" max="3" width="26.453125" bestFit="1" customWidth="1"/>
    <col min="4" max="4" width="31.81640625" bestFit="1" customWidth="1"/>
    <col min="5" max="5" width="21.1796875" customWidth="1"/>
    <col min="6" max="6" width="56.1796875" customWidth="1"/>
    <col min="7" max="8" width="9.54296875" customWidth="1"/>
  </cols>
  <sheetData>
    <row r="1" spans="1:8" x14ac:dyDescent="0.35">
      <c r="A1" s="2" t="s">
        <v>393</v>
      </c>
      <c r="B1" s="1"/>
      <c r="C1" s="1"/>
      <c r="D1" s="1"/>
    </row>
    <row r="2" spans="1:8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8" x14ac:dyDescent="0.35">
      <c r="A3" s="3" t="s">
        <v>394</v>
      </c>
      <c r="B3" s="3" t="s">
        <v>395</v>
      </c>
      <c r="C3" s="3" t="s">
        <v>396</v>
      </c>
      <c r="D3" s="3" t="s">
        <v>397</v>
      </c>
    </row>
    <row r="5" spans="1:8" x14ac:dyDescent="0.35">
      <c r="A5" s="2" t="s">
        <v>463</v>
      </c>
      <c r="B5" s="1"/>
      <c r="C5" s="1"/>
      <c r="D5" s="1"/>
      <c r="E5" s="1"/>
      <c r="F5" s="1"/>
      <c r="G5" s="1"/>
      <c r="H5" s="1"/>
    </row>
    <row r="6" spans="1:8" x14ac:dyDescent="0.35">
      <c r="A6" s="1" t="s">
        <v>1</v>
      </c>
      <c r="B6" s="1" t="s">
        <v>2</v>
      </c>
      <c r="C6" s="1" t="s">
        <v>3</v>
      </c>
      <c r="D6" s="1" t="s">
        <v>4</v>
      </c>
      <c r="E6" s="1" t="s">
        <v>469</v>
      </c>
      <c r="F6" s="1" t="s">
        <v>470</v>
      </c>
      <c r="G6" s="1" t="s">
        <v>191</v>
      </c>
      <c r="H6" s="1" t="s">
        <v>8168</v>
      </c>
    </row>
    <row r="7" spans="1:8" x14ac:dyDescent="0.35">
      <c r="A7" s="3" t="s">
        <v>464</v>
      </c>
      <c r="B7" s="3" t="s">
        <v>465</v>
      </c>
      <c r="C7" s="3" t="s">
        <v>466</v>
      </c>
      <c r="D7" s="3" t="s">
        <v>9727</v>
      </c>
      <c r="E7" s="3" t="s">
        <v>467</v>
      </c>
      <c r="F7" s="3" t="s">
        <v>468</v>
      </c>
      <c r="G7" s="3" t="s">
        <v>8169</v>
      </c>
      <c r="H7" s="3" t="s">
        <v>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Details</vt:lpstr>
      <vt:lpstr>AbsenceTypes</vt:lpstr>
      <vt:lpstr>Saldi</vt:lpstr>
      <vt:lpstr>Corrections</vt:lpstr>
      <vt:lpstr>Days</vt:lpstr>
      <vt:lpstr>Clocking</vt:lpstr>
      <vt:lpstr>Resource</vt:lpstr>
      <vt:lpstr>AbsenceTypes</vt:lpstr>
      <vt:lpstr>Clocking</vt:lpstr>
      <vt:lpstr>Corrections</vt:lpstr>
      <vt:lpstr>Days</vt:lpstr>
      <vt:lpstr>JAHR</vt:lpstr>
      <vt:lpstr>MONAT</vt:lpstr>
      <vt:lpstr>Saldi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Müller</dc:creator>
  <cp:lastModifiedBy>Sven Müller</cp:lastModifiedBy>
  <cp:lastPrinted>2023-12-20T10:55:11Z</cp:lastPrinted>
  <dcterms:created xsi:type="dcterms:W3CDTF">2023-12-06T14:52:40Z</dcterms:created>
  <dcterms:modified xsi:type="dcterms:W3CDTF">2024-03-20T07:53:01Z</dcterms:modified>
</cp:coreProperties>
</file>